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eya/Code/zkp/HasteBoots/statistics/"/>
    </mc:Choice>
  </mc:AlternateContent>
  <xr:revisionPtr revIDLastSave="0" documentId="13_ncr:1_{BC60E463-7D47-8A46-A1A0-3C11EDC0BCCA}" xr6:coauthVersionLast="47" xr6:coauthVersionMax="47" xr10:uidLastSave="{00000000-0000-0000-0000-000000000000}"/>
  <bookViews>
    <workbookView xWindow="34920" yWindow="-5740" windowWidth="33720" windowHeight="21100" activeTab="1" xr2:uid="{C673FD5D-B71E-674D-A3F8-C614E287E2BF}"/>
  </bookViews>
  <sheets>
    <sheet name="Table 2" sheetId="2" r:id="rId1"/>
    <sheet name="Table 3" sheetId="4" r:id="rId2"/>
    <sheet name="PCS Perforamance" sheetId="3" r:id="rId3"/>
    <sheet name="FHE Parameter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4" l="1"/>
  <c r="G29" i="4"/>
  <c r="C29" i="4"/>
  <c r="K28" i="4"/>
  <c r="G28" i="4"/>
  <c r="C28" i="4"/>
  <c r="K27" i="4"/>
  <c r="G27" i="4"/>
  <c r="C27" i="4"/>
  <c r="K26" i="4"/>
  <c r="G26" i="4"/>
  <c r="C26" i="4"/>
  <c r="K25" i="4"/>
  <c r="G25" i="4"/>
  <c r="C25" i="4"/>
  <c r="K24" i="4"/>
  <c r="G24" i="4"/>
  <c r="I17" i="1"/>
  <c r="I18" i="1"/>
  <c r="I19" i="1"/>
  <c r="I20" i="1"/>
  <c r="I29" i="1"/>
  <c r="I24" i="1"/>
  <c r="I28" i="1"/>
  <c r="I27" i="1"/>
  <c r="I26" i="1"/>
  <c r="I25" i="1"/>
  <c r="I15" i="1"/>
  <c r="I14" i="1"/>
  <c r="I13" i="1"/>
  <c r="I12" i="1"/>
  <c r="I11" i="1"/>
  <c r="I10" i="1"/>
  <c r="H54" i="2"/>
  <c r="D54" i="2"/>
  <c r="G21" i="3"/>
  <c r="G22" i="3"/>
  <c r="G23" i="3"/>
  <c r="G20" i="3"/>
  <c r="I7" i="1"/>
  <c r="I8" i="1"/>
  <c r="I6" i="1"/>
  <c r="H131" i="2"/>
  <c r="D131" i="2"/>
  <c r="L130" i="2"/>
  <c r="H130" i="2"/>
  <c r="D130" i="2"/>
  <c r="N129" i="2"/>
  <c r="L131" i="2" s="1"/>
  <c r="M129" i="2"/>
  <c r="L129" i="2"/>
  <c r="K129" i="2"/>
  <c r="J129" i="2"/>
  <c r="I129" i="2"/>
  <c r="H129" i="2"/>
  <c r="G129" i="2"/>
  <c r="F129" i="2"/>
  <c r="E129" i="2"/>
  <c r="D129" i="2"/>
  <c r="C129" i="2"/>
  <c r="L91" i="2"/>
  <c r="H91" i="2"/>
  <c r="D91" i="2"/>
  <c r="N90" i="2"/>
  <c r="L92" i="2" s="1"/>
  <c r="M90" i="2"/>
  <c r="L90" i="2"/>
  <c r="K90" i="2"/>
  <c r="J90" i="2"/>
  <c r="I90" i="2"/>
  <c r="H90" i="2"/>
  <c r="G90" i="2"/>
  <c r="F90" i="2"/>
  <c r="E90" i="2"/>
  <c r="D90" i="2"/>
  <c r="C90" i="2"/>
  <c r="L53" i="2"/>
  <c r="H53" i="2"/>
  <c r="D53" i="2"/>
  <c r="H92" i="2"/>
  <c r="D92" i="2"/>
  <c r="D52" i="2"/>
  <c r="E52" i="2"/>
  <c r="F52" i="2"/>
  <c r="G52" i="2"/>
  <c r="H52" i="2"/>
  <c r="I52" i="2"/>
  <c r="J52" i="2"/>
  <c r="K52" i="2"/>
  <c r="L52" i="2"/>
  <c r="M52" i="2"/>
  <c r="N52" i="2"/>
  <c r="L54" i="2" s="1"/>
  <c r="C52" i="2"/>
  <c r="G131" i="2" l="1"/>
  <c r="C91" i="2"/>
  <c r="E91" i="2" s="1"/>
  <c r="G130" i="2"/>
  <c r="I130" i="2" s="1"/>
  <c r="K130" i="2"/>
  <c r="M130" i="2" s="1"/>
  <c r="C131" i="2"/>
  <c r="E131" i="2" s="1"/>
  <c r="K131" i="2"/>
  <c r="M131" i="2" s="1"/>
  <c r="I131" i="2"/>
  <c r="C130" i="2"/>
  <c r="E130" i="2" s="1"/>
  <c r="K91" i="2"/>
  <c r="M91" i="2" s="1"/>
  <c r="G91" i="2"/>
  <c r="I91" i="2" s="1"/>
  <c r="K92" i="2"/>
  <c r="M92" i="2" s="1"/>
  <c r="G92" i="2"/>
  <c r="I92" i="2" s="1"/>
  <c r="C92" i="2"/>
  <c r="E92" i="2" s="1"/>
  <c r="K54" i="2"/>
  <c r="M54" i="2" s="1"/>
  <c r="C53" i="2"/>
  <c r="E53" i="2" s="1"/>
  <c r="G53" i="2"/>
  <c r="I53" i="2" s="1"/>
  <c r="K53" i="2"/>
  <c r="M53" i="2" s="1"/>
  <c r="C54" i="2"/>
  <c r="E54" i="2" s="1"/>
  <c r="G54" i="2"/>
  <c r="I54" i="2" s="1"/>
</calcChain>
</file>

<file path=xl/sharedStrings.xml><?xml version="1.0" encoding="utf-8"?>
<sst xmlns="http://schemas.openxmlformats.org/spreadsheetml/2006/main" count="325" uniqueCount="123">
  <si>
    <t>Parameter Set</t>
  </si>
  <si>
    <t>Q</t>
  </si>
  <si>
    <t>n</t>
  </si>
  <si>
    <t>N</t>
  </si>
  <si>
    <t>B</t>
  </si>
  <si>
    <t>\ell</t>
  </si>
  <si>
    <t>2^64-2^32+1</t>
  </si>
  <si>
    <t>2^10</t>
  </si>
  <si>
    <t>2^5</t>
  </si>
  <si>
    <t>Zama's</t>
  </si>
  <si>
    <t>Note: we align basis with Zama and use a larger ell since approximate decomposition is not supported in our implementation yet.</t>
  </si>
  <si>
    <t>Run</t>
  </si>
  <si>
    <t>Prover PCS Ratio (%)</t>
  </si>
  <si>
    <t>Verifier Total (ms)</t>
  </si>
  <si>
    <t>Verifier PCS (ms)</t>
  </si>
  <si>
    <t>Verifier PCS Ratio (%)</t>
  </si>
  <si>
    <t>Verifier PIOP (ms)</t>
  </si>
  <si>
    <t>Total Size (MB)</t>
  </si>
  <si>
    <t>PCS Size (MB)</t>
  </si>
  <si>
    <t>PCS Size Ratio (%)</t>
  </si>
  <si>
    <t>PIOP Size (MB)</t>
  </si>
  <si>
    <t>1. Show the performance comparison with the same parameter set as Zama's</t>
  </si>
  <si>
    <t>Zama</t>
  </si>
  <si>
    <t>M4 pro</t>
  </si>
  <si>
    <t>M3 pro</t>
  </si>
  <si>
    <t>40 min</t>
  </si>
  <si>
    <t>4 ms</t>
  </si>
  <si>
    <t>#vars</t>
  </si>
  <si>
    <t>oracle</t>
  </si>
  <si>
    <t xml:space="preserve">key_oracle </t>
  </si>
  <si>
    <t>commit (s)</t>
  </si>
  <si>
    <t>verification (ms)</t>
  </si>
  <si>
    <t>prover  (s)</t>
  </si>
  <si>
    <t>proof size (MB)</t>
  </si>
  <si>
    <t>Ours + BaseFold</t>
  </si>
  <si>
    <t>Prover Total (s)</t>
  </si>
  <si>
    <t>Prover PCS (s)</t>
  </si>
  <si>
    <t>Prover PIOP (s)</t>
  </si>
  <si>
    <t>Ours + Brakedown</t>
  </si>
  <si>
    <t>BaseFold:</t>
  </si>
  <si>
    <t>bit_oracle = (\log n + \log N) * \log (2 \ell) = 25</t>
  </si>
  <si>
    <t>2. Show the performance with Babybear parameters with 128 bit security</t>
  </si>
  <si>
    <t>Q (Babybear)</t>
  </si>
  <si>
    <t>2^31 - 2^27 + 1</t>
  </si>
  <si>
    <t>bit_oracle = (\log n + \log N) * \log (2 \ell) = 24</t>
  </si>
  <si>
    <t>Dory:</t>
  </si>
  <si>
    <t>#</t>
  </si>
  <si>
    <t>Q = Goldilocks</t>
  </si>
  <si>
    <t>EF = Q^2</t>
  </si>
  <si>
    <t>Q = F256</t>
  </si>
  <si>
    <t>Ours + Dory</t>
  </si>
  <si>
    <t>Note: key oracle denotes the oracle that contains all the evaluation keys</t>
  </si>
  <si>
    <t>Note: bit oracle denotes the oracle that contains all the decomposed polynomials. Other oracles are much smaller.</t>
  </si>
  <si>
    <t>3. Show the performance with Goldilock parameters with 128 bit security</t>
  </si>
  <si>
    <t>Q (Goldilocks)</t>
  </si>
  <si>
    <t>2^8</t>
  </si>
  <si>
    <t>circuit size</t>
  </si>
  <si>
    <t>Q (bit_size)</t>
  </si>
  <si>
    <t>log n</t>
  </si>
  <si>
    <t>log N</t>
  </si>
  <si>
    <t>log (2l)</t>
  </si>
  <si>
    <t>log B</t>
  </si>
  <si>
    <t>Circuit Size = bit_oracle = (\log n + \log N) + \log (2 \ell)</t>
  </si>
  <si>
    <t>bit_oracle = (\log n + \log N) * \log (2 \ell) = 23</t>
  </si>
  <si>
    <t>commit_s</t>
  </si>
  <si>
    <t>prover_s</t>
  </si>
  <si>
    <t>verification_ms</t>
  </si>
  <si>
    <t>proof_MB</t>
  </si>
  <si>
    <t>Dory - F256</t>
  </si>
  <si>
    <t>26 = 25 * 2</t>
  </si>
  <si>
    <r>
      <t xml:space="preserve">Note: </t>
    </r>
    <r>
      <rPr>
        <sz val="12"/>
        <color rgb="FFFF0000"/>
        <rFont val="Aptos Narrow (Body)"/>
      </rPr>
      <t xml:space="preserve">key can be committed in the preprocessing; </t>
    </r>
    <r>
      <rPr>
        <sz val="12"/>
        <color theme="1"/>
        <rFont val="Aptos Narrow"/>
        <family val="2"/>
        <scheme val="minor"/>
      </rPr>
      <t>Also, it can be committed only once when proving batched PBS</t>
    </r>
  </si>
  <si>
    <r>
      <t xml:space="preserve">Note: </t>
    </r>
    <r>
      <rPr>
        <sz val="12"/>
        <color rgb="FFFF0000"/>
        <rFont val="Aptos Narrow (Body)"/>
      </rPr>
      <t>key can be committed in the preprocessing</t>
    </r>
    <r>
      <rPr>
        <sz val="12"/>
        <color rgb="FFC00000"/>
        <rFont val="Aptos Narrow (Body)"/>
      </rPr>
      <t>;</t>
    </r>
    <r>
      <rPr>
        <sz val="12"/>
        <color theme="1"/>
        <rFont val="Aptos Narrow"/>
        <family val="2"/>
        <scheme val="minor"/>
      </rPr>
      <t xml:space="preserve"> Also, it can be committed only once when proving batched PBS</t>
    </r>
  </si>
  <si>
    <r>
      <t xml:space="preserve">Note: </t>
    </r>
    <r>
      <rPr>
        <sz val="12"/>
        <color rgb="FFFF0000"/>
        <rFont val="Aptos Narrow (Body)"/>
      </rPr>
      <t>key can be committed in the preprocessing;</t>
    </r>
    <r>
      <rPr>
        <sz val="12"/>
        <color theme="1"/>
        <rFont val="Aptos Narrow"/>
        <family val="2"/>
        <scheme val="minor"/>
      </rPr>
      <t xml:space="preserve"> Also, it can be committed only once when proving batched PBS</t>
    </r>
  </si>
  <si>
    <t>prover_total_s</t>
  </si>
  <si>
    <t>prover_piop_s</t>
  </si>
  <si>
    <t>verifier_total_ms</t>
  </si>
  <si>
    <t>verifier_piop_ms</t>
  </si>
  <si>
    <t>proof_total_mb</t>
  </si>
  <si>
    <t>proof_piop_mb</t>
  </si>
  <si>
    <t>l = logB Q</t>
  </si>
  <si>
    <t>commit</t>
  </si>
  <si>
    <t>batch</t>
  </si>
  <si>
    <t>total_s</t>
  </si>
  <si>
    <t>pcs_s</t>
  </si>
  <si>
    <t>pcs_ratio_%</t>
  </si>
  <si>
    <t>prover</t>
  </si>
  <si>
    <t>piop_s</t>
  </si>
  <si>
    <t>total_ms</t>
  </si>
  <si>
    <t>pcs_ms</t>
  </si>
  <si>
    <t>pcs_ratio</t>
  </si>
  <si>
    <t>piop_ms</t>
  </si>
  <si>
    <t>verify</t>
  </si>
  <si>
    <t>proof size</t>
  </si>
  <si>
    <t>total_MB</t>
  </si>
  <si>
    <t>pcs_MB</t>
  </si>
  <si>
    <t>piop_MB</t>
  </si>
  <si>
    <t>Bit oracle is the biggest oracle that has to be committed.</t>
  </si>
  <si>
    <t>BabyBear</t>
  </si>
  <si>
    <t>Goldilocsk</t>
  </si>
  <si>
    <t>Parameter with 128-bit security</t>
  </si>
  <si>
    <t>PCS</t>
  </si>
  <si>
    <t>Brakedown</t>
  </si>
  <si>
    <t>Dory</t>
  </si>
  <si>
    <t>BaseFold</t>
  </si>
  <si>
    <t>Original</t>
  </si>
  <si>
    <t>BaseFold-F128</t>
  </si>
  <si>
    <t>Commit U32</t>
  </si>
  <si>
    <t>Commit U64</t>
  </si>
  <si>
    <t>Commit Goldilocks</t>
  </si>
  <si>
    <t>1 PBS</t>
  </si>
  <si>
    <t>poly</t>
  </si>
  <si>
    <t>25 * 2</t>
  </si>
  <si>
    <t>24 * 2</t>
  </si>
  <si>
    <t>26 * 2</t>
  </si>
  <si>
    <t>27 * 2</t>
  </si>
  <si>
    <t>28 * 2</t>
  </si>
  <si>
    <t>FHE PBS Time</t>
  </si>
  <si>
    <t>28.497 ms</t>
  </si>
  <si>
    <t>107.96 ms</t>
  </si>
  <si>
    <t>160.18 ms</t>
  </si>
  <si>
    <t>0.18 MB</t>
  </si>
  <si>
    <t>Batched PBS with Brakedown</t>
  </si>
  <si>
    <t>Batched PBS with Dory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</si>
</sst>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FF0000"/>
      <name val="Aptos Narrow (Body)"/>
    </font>
    <font>
      <b/>
      <sz val="12"/>
      <color theme="1"/>
      <name val="Aptos Narrow"/>
      <scheme val="minor"/>
    </font>
    <font>
      <b/>
      <sz val="12"/>
      <color rgb="FFFF0000"/>
      <name val="Aptos Narrow (Body)"/>
    </font>
    <font>
      <sz val="12"/>
      <color theme="1" tint="0.499984740745262"/>
      <name val="Aptos Narrow"/>
      <family val="2"/>
      <scheme val="minor"/>
    </font>
    <font>
      <sz val="12"/>
      <color rgb="FFC00000"/>
      <name val="Aptos Narrow (Body)"/>
    </font>
    <font>
      <sz val="12"/>
      <color theme="1"/>
      <name val="Aptos Narrow"/>
      <scheme val="minor"/>
    </font>
    <font>
      <sz val="12"/>
      <color theme="1" tint="0.499984740745262"/>
      <name val="Aptos Narrow"/>
      <scheme val="minor"/>
    </font>
    <font>
      <b/>
      <sz val="12"/>
      <color rgb="FFFF0000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theme="1" tint="0.499984740745262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0" xfId="0" applyFont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2" fillId="0" borderId="0" xfId="0" applyFont="1"/>
    <xf numFmtId="0" fontId="4" fillId="0" borderId="3" xfId="0" applyFont="1" applyBorder="1"/>
    <xf numFmtId="0" fontId="4" fillId="0" borderId="4" xfId="0" applyFont="1" applyBorder="1"/>
    <xf numFmtId="0" fontId="4" fillId="0" borderId="8" xfId="0" applyFont="1" applyBorder="1"/>
    <xf numFmtId="2" fontId="0" fillId="0" borderId="0" xfId="0" applyNumberFormat="1"/>
    <xf numFmtId="0" fontId="1" fillId="0" borderId="3" xfId="0" applyFont="1" applyBorder="1"/>
    <xf numFmtId="2" fontId="1" fillId="0" borderId="0" xfId="0" applyNumberFormat="1" applyFont="1"/>
    <xf numFmtId="2" fontId="0" fillId="0" borderId="8" xfId="0" applyNumberFormat="1" applyBorder="1"/>
    <xf numFmtId="2" fontId="0" fillId="0" borderId="1" xfId="0" applyNumberFormat="1" applyBorder="1"/>
    <xf numFmtId="2" fontId="0" fillId="0" borderId="6" xfId="0" applyNumberFormat="1" applyBorder="1"/>
    <xf numFmtId="2" fontId="6" fillId="0" borderId="0" xfId="0" applyNumberFormat="1" applyFont="1"/>
    <xf numFmtId="0" fontId="8" fillId="0" borderId="2" xfId="0" applyFont="1" applyBorder="1"/>
    <xf numFmtId="0" fontId="8" fillId="0" borderId="7" xfId="0" applyFont="1" applyBorder="1"/>
    <xf numFmtId="0" fontId="8" fillId="0" borderId="5" xfId="0" applyFont="1" applyBorder="1"/>
    <xf numFmtId="2" fontId="9" fillId="0" borderId="0" xfId="0" applyNumberFormat="1" applyFont="1"/>
    <xf numFmtId="0" fontId="10" fillId="0" borderId="0" xfId="0" applyFont="1"/>
    <xf numFmtId="0" fontId="8" fillId="0" borderId="0" xfId="0" applyFont="1"/>
    <xf numFmtId="0" fontId="10" fillId="0" borderId="12" xfId="0" applyFont="1" applyBorder="1"/>
    <xf numFmtId="2" fontId="0" fillId="0" borderId="13" xfId="0" applyNumberFormat="1" applyBorder="1"/>
    <xf numFmtId="2" fontId="0" fillId="0" borderId="14" xfId="0" applyNumberFormat="1" applyBorder="1"/>
    <xf numFmtId="2" fontId="0" fillId="0" borderId="12" xfId="0" applyNumberFormat="1" applyBorder="1"/>
    <xf numFmtId="0" fontId="0" fillId="2" borderId="15" xfId="0" applyFill="1" applyBorder="1"/>
    <xf numFmtId="0" fontId="0" fillId="3" borderId="15" xfId="0" applyFill="1" applyBorder="1"/>
    <xf numFmtId="2" fontId="1" fillId="3" borderId="15" xfId="0" applyNumberFormat="1" applyFont="1" applyFill="1" applyBorder="1"/>
    <xf numFmtId="2" fontId="0" fillId="3" borderId="15" xfId="0" applyNumberFormat="1" applyFill="1" applyBorder="1"/>
    <xf numFmtId="0" fontId="6" fillId="0" borderId="3" xfId="0" applyFont="1" applyBorder="1"/>
    <xf numFmtId="0" fontId="6" fillId="0" borderId="0" xfId="0" applyFont="1"/>
    <xf numFmtId="0" fontId="10" fillId="0" borderId="3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2" xfId="0" applyFont="1" applyBorder="1"/>
    <xf numFmtId="2" fontId="6" fillId="0" borderId="8" xfId="0" applyNumberFormat="1" applyFont="1" applyBorder="1"/>
    <xf numFmtId="0" fontId="0" fillId="0" borderId="8" xfId="0" applyBorder="1"/>
    <xf numFmtId="2" fontId="0" fillId="0" borderId="7" xfId="0" applyNumberFormat="1" applyBorder="1"/>
    <xf numFmtId="0" fontId="0" fillId="2" borderId="13" xfId="0" applyFill="1" applyBorder="1"/>
    <xf numFmtId="0" fontId="0" fillId="2" borderId="0" xfId="0" applyFill="1"/>
    <xf numFmtId="0" fontId="9" fillId="0" borderId="0" xfId="0" applyFont="1"/>
    <xf numFmtId="0" fontId="12" fillId="0" borderId="0" xfId="0" applyFont="1"/>
    <xf numFmtId="0" fontId="8" fillId="0" borderId="3" xfId="0" applyFont="1" applyBorder="1"/>
    <xf numFmtId="0" fontId="8" fillId="0" borderId="4" xfId="0" applyFont="1" applyBorder="1"/>
    <xf numFmtId="2" fontId="8" fillId="0" borderId="0" xfId="0" applyNumberFormat="1" applyFont="1"/>
    <xf numFmtId="0" fontId="8" fillId="0" borderId="8" xfId="0" applyFont="1" applyBorder="1"/>
    <xf numFmtId="2" fontId="8" fillId="0" borderId="1" xfId="0" applyNumberFormat="1" applyFont="1" applyBorder="1"/>
    <xf numFmtId="0" fontId="8" fillId="0" borderId="1" xfId="0" applyFont="1" applyBorder="1"/>
    <xf numFmtId="0" fontId="8" fillId="0" borderId="6" xfId="0" applyFont="1" applyBorder="1"/>
    <xf numFmtId="0" fontId="11" fillId="0" borderId="0" xfId="0" applyFont="1"/>
    <xf numFmtId="2" fontId="11" fillId="0" borderId="0" xfId="0" applyNumberFormat="1" applyFont="1"/>
    <xf numFmtId="2" fontId="0" fillId="0" borderId="5" xfId="0" applyNumberFormat="1" applyBorder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79315-B254-2443-BA29-E395208E1DE9}">
  <dimension ref="A2:N135"/>
  <sheetViews>
    <sheetView zoomScale="158" workbookViewId="0">
      <selection activeCell="D22" sqref="D22"/>
    </sheetView>
  </sheetViews>
  <sheetFormatPr baseColWidth="10" defaultRowHeight="16" x14ac:dyDescent="0.2"/>
  <cols>
    <col min="1" max="1" width="18" customWidth="1"/>
    <col min="2" max="2" width="16.1640625" customWidth="1"/>
    <col min="3" max="3" width="14" customWidth="1"/>
    <col min="4" max="4" width="14.83203125" customWidth="1"/>
    <col min="5" max="5" width="17.33203125" customWidth="1"/>
    <col min="6" max="6" width="16.33203125" customWidth="1"/>
    <col min="7" max="7" width="16.1640625" customWidth="1"/>
    <col min="8" max="8" width="15" customWidth="1"/>
    <col min="9" max="9" width="17.83203125" customWidth="1"/>
    <col min="10" max="10" width="15.6640625" customWidth="1"/>
    <col min="11" max="11" width="13.5" customWidth="1"/>
    <col min="12" max="12" width="12.5" customWidth="1"/>
    <col min="13" max="13" width="12.1640625" customWidth="1"/>
    <col min="14" max="14" width="13" customWidth="1"/>
  </cols>
  <sheetData>
    <row r="2" spans="1:14" x14ac:dyDescent="0.2">
      <c r="B2" t="s">
        <v>99</v>
      </c>
    </row>
    <row r="3" spans="1:14" x14ac:dyDescent="0.2">
      <c r="B3" s="38" t="s">
        <v>0</v>
      </c>
      <c r="C3" s="38" t="s">
        <v>1</v>
      </c>
      <c r="D3" s="38" t="s">
        <v>2</v>
      </c>
      <c r="E3" s="38" t="s">
        <v>3</v>
      </c>
      <c r="F3" s="38" t="s">
        <v>4</v>
      </c>
      <c r="G3" s="38" t="s">
        <v>5</v>
      </c>
      <c r="H3" s="52" t="s">
        <v>116</v>
      </c>
    </row>
    <row r="4" spans="1:14" x14ac:dyDescent="0.2">
      <c r="B4" s="38" t="s">
        <v>9</v>
      </c>
      <c r="C4" s="38" t="s">
        <v>6</v>
      </c>
      <c r="D4" s="38">
        <v>728</v>
      </c>
      <c r="E4" s="38" t="s">
        <v>7</v>
      </c>
      <c r="F4" s="38" t="s">
        <v>8</v>
      </c>
      <c r="G4" s="38">
        <v>13</v>
      </c>
      <c r="H4" s="53" t="s">
        <v>119</v>
      </c>
      <c r="I4" t="s">
        <v>10</v>
      </c>
    </row>
    <row r="5" spans="1:14" x14ac:dyDescent="0.2">
      <c r="B5" s="38" t="s">
        <v>97</v>
      </c>
      <c r="C5" s="38" t="s">
        <v>43</v>
      </c>
      <c r="D5" s="38">
        <v>728</v>
      </c>
      <c r="E5" s="38" t="s">
        <v>7</v>
      </c>
      <c r="F5" s="38" t="s">
        <v>55</v>
      </c>
      <c r="G5" s="38">
        <v>4</v>
      </c>
      <c r="H5" s="52" t="s">
        <v>117</v>
      </c>
    </row>
    <row r="6" spans="1:14" x14ac:dyDescent="0.2">
      <c r="B6" s="38" t="s">
        <v>98</v>
      </c>
      <c r="C6" s="38" t="s">
        <v>6</v>
      </c>
      <c r="D6" s="38">
        <v>728</v>
      </c>
      <c r="E6" s="38" t="s">
        <v>7</v>
      </c>
      <c r="F6" s="38" t="s">
        <v>55</v>
      </c>
      <c r="G6" s="38">
        <v>8</v>
      </c>
      <c r="H6" s="52" t="s">
        <v>118</v>
      </c>
    </row>
    <row r="9" spans="1:14" x14ac:dyDescent="0.2">
      <c r="A9" s="38" t="s">
        <v>0</v>
      </c>
      <c r="B9" s="38" t="s">
        <v>100</v>
      </c>
      <c r="C9" s="44" t="s">
        <v>35</v>
      </c>
      <c r="D9" s="42" t="s">
        <v>36</v>
      </c>
      <c r="E9" s="42" t="s">
        <v>12</v>
      </c>
      <c r="F9" s="18" t="s">
        <v>37</v>
      </c>
      <c r="G9" s="44" t="s">
        <v>13</v>
      </c>
      <c r="H9" s="42" t="s">
        <v>14</v>
      </c>
      <c r="I9" s="42" t="s">
        <v>15</v>
      </c>
      <c r="J9" s="18" t="s">
        <v>16</v>
      </c>
      <c r="K9" s="44" t="s">
        <v>17</v>
      </c>
      <c r="L9" s="42" t="s">
        <v>18</v>
      </c>
      <c r="M9" s="42" t="s">
        <v>19</v>
      </c>
      <c r="N9" s="19" t="s">
        <v>20</v>
      </c>
    </row>
    <row r="10" spans="1:14" x14ac:dyDescent="0.2">
      <c r="A10" s="38" t="s">
        <v>22</v>
      </c>
      <c r="B10" s="38" t="s">
        <v>104</v>
      </c>
      <c r="C10" t="s">
        <v>25</v>
      </c>
      <c r="D10" s="43"/>
      <c r="E10" s="43"/>
      <c r="G10" t="s">
        <v>26</v>
      </c>
      <c r="H10" s="43"/>
      <c r="I10" s="43"/>
      <c r="L10" s="43"/>
      <c r="M10" s="43"/>
      <c r="N10" t="s">
        <v>120</v>
      </c>
    </row>
    <row r="11" spans="1:14" x14ac:dyDescent="0.2">
      <c r="A11" s="38" t="s">
        <v>22</v>
      </c>
      <c r="B11" s="38" t="s">
        <v>101</v>
      </c>
      <c r="C11" s="21">
        <v>8.4509999999999987</v>
      </c>
      <c r="D11" s="27">
        <v>2.6840000000000002</v>
      </c>
      <c r="E11" s="27">
        <v>31.716000000000001</v>
      </c>
      <c r="F11" s="21">
        <v>5.7679999999999998</v>
      </c>
      <c r="G11" s="21">
        <v>427.32700000000006</v>
      </c>
      <c r="H11" s="27">
        <v>425.904</v>
      </c>
      <c r="I11" s="27">
        <v>99.664999999999992</v>
      </c>
      <c r="J11" s="21">
        <v>1.4239999999999999</v>
      </c>
      <c r="K11" s="21">
        <v>181.55172000000002</v>
      </c>
      <c r="L11" s="27">
        <v>181.40205999999998</v>
      </c>
      <c r="M11" s="27">
        <v>99.919999999999987</v>
      </c>
      <c r="N11" s="21">
        <v>0.14964999999999998</v>
      </c>
    </row>
    <row r="12" spans="1:14" x14ac:dyDescent="0.2">
      <c r="A12" s="38" t="s">
        <v>22</v>
      </c>
      <c r="B12" s="38" t="s">
        <v>102</v>
      </c>
      <c r="C12" s="21">
        <v>12.358000000000001</v>
      </c>
      <c r="D12" s="27">
        <v>6.59</v>
      </c>
      <c r="E12" s="27">
        <v>53.325780870691041</v>
      </c>
      <c r="F12" s="21">
        <v>5.7679999999999998</v>
      </c>
      <c r="G12" s="21">
        <v>118.12400000000001</v>
      </c>
      <c r="H12" s="27">
        <v>116.7</v>
      </c>
      <c r="I12" s="27">
        <v>98.794487149097549</v>
      </c>
      <c r="J12" s="21">
        <v>1.4239999999999999</v>
      </c>
      <c r="K12" s="21">
        <v>0.21565199999999998</v>
      </c>
      <c r="L12" s="27">
        <v>6.6002000000000005E-2</v>
      </c>
      <c r="M12" s="27">
        <v>30.605790811121626</v>
      </c>
      <c r="N12" s="21">
        <v>0.14964999999999998</v>
      </c>
    </row>
    <row r="13" spans="1:14" x14ac:dyDescent="0.2">
      <c r="A13" s="38" t="s">
        <v>22</v>
      </c>
      <c r="B13" s="38" t="s">
        <v>103</v>
      </c>
      <c r="C13" s="21">
        <v>153.030766</v>
      </c>
      <c r="D13" s="27">
        <v>147.262766</v>
      </c>
      <c r="E13" s="27">
        <v>96.23082328425383</v>
      </c>
      <c r="F13" s="21">
        <v>5.7679999999999998</v>
      </c>
      <c r="G13" s="21">
        <v>6.2922499999999992</v>
      </c>
      <c r="H13" s="27">
        <v>4.8682499999999997</v>
      </c>
      <c r="I13" s="27">
        <v>77.368985656958969</v>
      </c>
      <c r="J13" s="21">
        <v>1.4239999999999999</v>
      </c>
      <c r="K13" s="21">
        <v>4.9281590000000008</v>
      </c>
      <c r="L13" s="27">
        <v>4.7785090000000006</v>
      </c>
      <c r="M13" s="27">
        <v>96.963369079609635</v>
      </c>
      <c r="N13" s="21">
        <v>0.14964999999999998</v>
      </c>
    </row>
    <row r="14" spans="1:14" x14ac:dyDescent="0.2">
      <c r="A14" s="38" t="s">
        <v>97</v>
      </c>
      <c r="B14" s="38" t="s">
        <v>101</v>
      </c>
      <c r="C14" s="21">
        <v>3.5100000000000002</v>
      </c>
      <c r="D14" s="27">
        <v>0.61199999999999988</v>
      </c>
      <c r="E14" s="27">
        <v>17.436</v>
      </c>
      <c r="F14" s="21">
        <v>2.8980000000000001</v>
      </c>
      <c r="G14" s="21">
        <v>224.24</v>
      </c>
      <c r="H14" s="27">
        <v>222.81</v>
      </c>
      <c r="I14" s="27">
        <v>99.36</v>
      </c>
      <c r="J14" s="21">
        <v>1.4300000000000002</v>
      </c>
      <c r="K14" s="21">
        <v>135.44881000000004</v>
      </c>
      <c r="L14" s="27">
        <v>135.27241000000001</v>
      </c>
      <c r="M14" s="27">
        <v>99.87</v>
      </c>
      <c r="N14" s="21">
        <v>0.17641000000000004</v>
      </c>
    </row>
    <row r="15" spans="1:14" x14ac:dyDescent="0.2">
      <c r="A15" s="38" t="s">
        <v>97</v>
      </c>
      <c r="B15" s="38" t="s">
        <v>102</v>
      </c>
      <c r="C15" s="21">
        <v>5.4716640000000005</v>
      </c>
      <c r="D15" s="27">
        <v>2.573664</v>
      </c>
      <c r="E15" s="27">
        <v>47.036221522374177</v>
      </c>
      <c r="F15" s="21">
        <v>2.8980000000000001</v>
      </c>
      <c r="G15" s="21">
        <v>109.35000000000001</v>
      </c>
      <c r="H15" s="27">
        <v>107.92</v>
      </c>
      <c r="I15" s="27">
        <v>98.692272519433004</v>
      </c>
      <c r="J15" s="21">
        <v>1.4300000000000002</v>
      </c>
      <c r="K15" s="21">
        <v>0.23746800000000004</v>
      </c>
      <c r="L15" s="27">
        <v>6.1058000000000001E-2</v>
      </c>
      <c r="M15" s="27">
        <v>25.712095945558978</v>
      </c>
      <c r="N15" s="21">
        <v>0.17641000000000004</v>
      </c>
    </row>
    <row r="16" spans="1:14" x14ac:dyDescent="0.2">
      <c r="A16" s="38" t="s">
        <v>97</v>
      </c>
      <c r="B16" s="38" t="s">
        <v>103</v>
      </c>
      <c r="C16" s="21">
        <v>45.529185000000005</v>
      </c>
      <c r="D16" s="27">
        <v>42.631185000000002</v>
      </c>
      <c r="E16" s="27">
        <v>93.634852018545899</v>
      </c>
      <c r="F16" s="21">
        <v>2.8980000000000001</v>
      </c>
      <c r="G16" s="21">
        <v>4.0448060000000003</v>
      </c>
      <c r="H16" s="27">
        <v>2.6148060000000002</v>
      </c>
      <c r="I16" s="27">
        <v>64.646017633478593</v>
      </c>
      <c r="J16" s="21">
        <v>1.4300000000000002</v>
      </c>
      <c r="K16" s="21">
        <v>4.6521589999999993</v>
      </c>
      <c r="L16" s="27">
        <v>4.4757489999999995</v>
      </c>
      <c r="M16" s="27">
        <v>96.207997190121844</v>
      </c>
      <c r="N16" s="21">
        <v>0.17641000000000004</v>
      </c>
    </row>
    <row r="17" spans="1:14" x14ac:dyDescent="0.2">
      <c r="A17" s="38" t="s">
        <v>98</v>
      </c>
      <c r="B17" s="38" t="s">
        <v>101</v>
      </c>
      <c r="C17" s="21">
        <v>5.0860000000000003</v>
      </c>
      <c r="D17" s="27">
        <v>1.4390000000000001</v>
      </c>
      <c r="E17" s="27">
        <v>28.320999999999998</v>
      </c>
      <c r="F17" s="21">
        <v>3.6459999999999999</v>
      </c>
      <c r="G17" s="21">
        <v>299.99200000000002</v>
      </c>
      <c r="H17" s="27">
        <v>298.61099999999999</v>
      </c>
      <c r="I17" s="27">
        <v>99.539999999999992</v>
      </c>
      <c r="J17" s="21">
        <v>1.381</v>
      </c>
      <c r="K17" s="21">
        <v>162.51464999999999</v>
      </c>
      <c r="L17" s="27">
        <v>162.36679999999998</v>
      </c>
      <c r="M17" s="27">
        <v>99.909999999999982</v>
      </c>
      <c r="N17" s="21">
        <v>0.14784999999999998</v>
      </c>
    </row>
    <row r="18" spans="1:14" x14ac:dyDescent="0.2">
      <c r="A18" s="38" t="s">
        <v>98</v>
      </c>
      <c r="B18" s="38" t="s">
        <v>102</v>
      </c>
      <c r="C18" s="21">
        <v>10.096</v>
      </c>
      <c r="D18" s="27">
        <v>6.45</v>
      </c>
      <c r="E18" s="27">
        <v>63.886687797147388</v>
      </c>
      <c r="F18" s="21">
        <v>3.6459999999999999</v>
      </c>
      <c r="G18" s="21">
        <v>118.081</v>
      </c>
      <c r="H18" s="27">
        <v>116.7</v>
      </c>
      <c r="I18" s="27">
        <v>98.830463834147736</v>
      </c>
      <c r="J18" s="21">
        <v>1.381</v>
      </c>
      <c r="K18" s="21">
        <v>0.21385199999999999</v>
      </c>
      <c r="L18" s="27">
        <v>6.6002000000000005E-2</v>
      </c>
      <c r="M18" s="27">
        <v>30.863400856667234</v>
      </c>
      <c r="N18" s="21">
        <v>0.14784999999999998</v>
      </c>
    </row>
    <row r="19" spans="1:14" x14ac:dyDescent="0.2">
      <c r="A19" s="38" t="s">
        <v>98</v>
      </c>
      <c r="B19" s="38" t="s">
        <v>103</v>
      </c>
      <c r="C19" s="21">
        <v>106.363039</v>
      </c>
      <c r="D19" s="27">
        <v>102.717039</v>
      </c>
      <c r="E19" s="27">
        <v>96.572117500328275</v>
      </c>
      <c r="F19" s="21">
        <v>3.6459999999999999</v>
      </c>
      <c r="G19" s="21">
        <v>4.6265000000000001</v>
      </c>
      <c r="H19" s="27">
        <v>3.2454999999999998</v>
      </c>
      <c r="I19" s="27">
        <v>70.150221549767636</v>
      </c>
      <c r="J19" s="21">
        <v>1.381</v>
      </c>
      <c r="K19" s="21">
        <v>4.9245590000000004</v>
      </c>
      <c r="L19" s="27">
        <v>4.7767090000000003</v>
      </c>
      <c r="M19" s="27">
        <v>96.997700707819718</v>
      </c>
      <c r="N19" s="21">
        <v>0.14784999999999998</v>
      </c>
    </row>
    <row r="23" spans="1:14" ht="23" customHeight="1" x14ac:dyDescent="0.2">
      <c r="B23" s="66" t="s">
        <v>21</v>
      </c>
      <c r="C23" s="67"/>
      <c r="D23" s="67"/>
      <c r="E23" s="67"/>
      <c r="F23" s="67"/>
      <c r="G23" s="67"/>
      <c r="H23" s="67"/>
      <c r="I23" s="67"/>
      <c r="J23" s="67"/>
    </row>
    <row r="24" spans="1:14" x14ac:dyDescent="0.2">
      <c r="B24" s="38" t="s">
        <v>0</v>
      </c>
      <c r="C24" s="38" t="s">
        <v>1</v>
      </c>
      <c r="D24" s="38" t="s">
        <v>2</v>
      </c>
      <c r="E24" s="38" t="s">
        <v>3</v>
      </c>
      <c r="F24" s="38" t="s">
        <v>4</v>
      </c>
      <c r="G24" s="38" t="s">
        <v>5</v>
      </c>
    </row>
    <row r="25" spans="1:14" x14ac:dyDescent="0.2">
      <c r="B25" s="38" t="s">
        <v>9</v>
      </c>
      <c r="C25" s="38" t="s">
        <v>6</v>
      </c>
      <c r="D25" s="38">
        <v>728</v>
      </c>
      <c r="E25" s="38" t="s">
        <v>7</v>
      </c>
      <c r="F25" s="38" t="s">
        <v>8</v>
      </c>
      <c r="G25" s="38">
        <v>13</v>
      </c>
      <c r="H25" t="s">
        <v>10</v>
      </c>
    </row>
    <row r="27" spans="1:14" ht="17" x14ac:dyDescent="0.2">
      <c r="A27" s="15" t="s">
        <v>39</v>
      </c>
      <c r="B27" t="s">
        <v>28</v>
      </c>
      <c r="C27" t="s">
        <v>29</v>
      </c>
      <c r="D27" t="s">
        <v>40</v>
      </c>
    </row>
    <row r="28" spans="1:14" x14ac:dyDescent="0.2">
      <c r="A28" t="s">
        <v>47</v>
      </c>
      <c r="B28" s="4" t="s">
        <v>27</v>
      </c>
      <c r="C28" s="18">
        <v>25</v>
      </c>
      <c r="D28" s="19">
        <v>25</v>
      </c>
      <c r="F28" t="s">
        <v>72</v>
      </c>
    </row>
    <row r="29" spans="1:14" x14ac:dyDescent="0.2">
      <c r="A29" t="s">
        <v>48</v>
      </c>
      <c r="B29" s="10" t="s">
        <v>46</v>
      </c>
      <c r="C29" s="14">
        <v>2</v>
      </c>
      <c r="D29" s="20">
        <v>1</v>
      </c>
      <c r="F29" t="s">
        <v>51</v>
      </c>
    </row>
    <row r="30" spans="1:14" x14ac:dyDescent="0.2">
      <c r="B30" s="10" t="s">
        <v>30</v>
      </c>
      <c r="C30" s="31">
        <v>27.251169999999998</v>
      </c>
      <c r="D30" s="24">
        <v>13.625584999999999</v>
      </c>
      <c r="F30" t="s">
        <v>52</v>
      </c>
    </row>
    <row r="31" spans="1:14" x14ac:dyDescent="0.2">
      <c r="B31" s="10" t="s">
        <v>32</v>
      </c>
      <c r="C31" s="21">
        <v>89.091453999999999</v>
      </c>
      <c r="D31" s="24">
        <v>44.545726999999999</v>
      </c>
    </row>
    <row r="32" spans="1:14" x14ac:dyDescent="0.2">
      <c r="B32" s="10" t="s">
        <v>31</v>
      </c>
      <c r="C32" s="21">
        <v>3.2454999999999998</v>
      </c>
      <c r="D32" s="24">
        <v>1.6227499999999999</v>
      </c>
      <c r="F32" t="s">
        <v>96</v>
      </c>
    </row>
    <row r="33" spans="1:14" x14ac:dyDescent="0.2">
      <c r="B33" s="7" t="s">
        <v>33</v>
      </c>
      <c r="C33" s="25">
        <v>3.085906</v>
      </c>
      <c r="D33" s="26">
        <v>1.542953</v>
      </c>
    </row>
    <row r="34" spans="1:14" x14ac:dyDescent="0.2">
      <c r="A34" s="14" t="s">
        <v>45</v>
      </c>
      <c r="B34" s="28" t="s">
        <v>27</v>
      </c>
      <c r="C34" s="18">
        <v>26</v>
      </c>
      <c r="D34" s="19">
        <v>25</v>
      </c>
    </row>
    <row r="35" spans="1:14" x14ac:dyDescent="0.2">
      <c r="A35" t="s">
        <v>49</v>
      </c>
      <c r="B35" s="29" t="s">
        <v>46</v>
      </c>
      <c r="C35" s="14">
        <v>1</v>
      </c>
      <c r="D35" s="20">
        <v>1</v>
      </c>
    </row>
    <row r="36" spans="1:14" x14ac:dyDescent="0.2">
      <c r="B36" s="29" t="s">
        <v>30</v>
      </c>
      <c r="C36" s="49">
        <v>7.97</v>
      </c>
      <c r="D36" s="21">
        <v>3.87</v>
      </c>
    </row>
    <row r="37" spans="1:14" x14ac:dyDescent="0.2">
      <c r="B37" s="29" t="s">
        <v>32</v>
      </c>
      <c r="C37" s="24">
        <v>1.43</v>
      </c>
      <c r="D37" s="21">
        <v>1.29</v>
      </c>
    </row>
    <row r="38" spans="1:14" x14ac:dyDescent="0.2">
      <c r="B38" s="29" t="s">
        <v>31</v>
      </c>
      <c r="C38" s="24">
        <v>58.35</v>
      </c>
      <c r="D38" s="21">
        <v>58.35</v>
      </c>
    </row>
    <row r="39" spans="1:14" x14ac:dyDescent="0.2">
      <c r="B39" s="30" t="s">
        <v>33</v>
      </c>
      <c r="C39" s="26">
        <v>3.3001000000000003E-2</v>
      </c>
      <c r="D39" s="25">
        <v>3.3001000000000003E-2</v>
      </c>
    </row>
    <row r="40" spans="1:14" x14ac:dyDescent="0.2">
      <c r="B40" s="9"/>
    </row>
    <row r="41" spans="1:14" x14ac:dyDescent="0.2">
      <c r="B41" s="4" t="s">
        <v>11</v>
      </c>
      <c r="C41" s="22" t="s">
        <v>35</v>
      </c>
      <c r="D41" s="5" t="s">
        <v>36</v>
      </c>
      <c r="E41" s="22" t="s">
        <v>12</v>
      </c>
      <c r="F41" s="5" t="s">
        <v>37</v>
      </c>
      <c r="G41" s="22" t="s">
        <v>13</v>
      </c>
      <c r="H41" s="5" t="s">
        <v>14</v>
      </c>
      <c r="I41" s="22" t="s">
        <v>15</v>
      </c>
      <c r="J41" s="5" t="s">
        <v>16</v>
      </c>
      <c r="K41" s="5" t="s">
        <v>17</v>
      </c>
      <c r="L41" s="22" t="s">
        <v>18</v>
      </c>
      <c r="M41" s="5" t="s">
        <v>19</v>
      </c>
      <c r="N41" s="6" t="s">
        <v>20</v>
      </c>
    </row>
    <row r="42" spans="1:14" x14ac:dyDescent="0.2">
      <c r="B42" s="10">
        <v>1</v>
      </c>
      <c r="C42">
        <v>7.74</v>
      </c>
      <c r="D42">
        <v>2.37</v>
      </c>
      <c r="E42">
        <v>30.64</v>
      </c>
      <c r="F42">
        <v>5.37</v>
      </c>
      <c r="G42">
        <v>410.61</v>
      </c>
      <c r="H42">
        <v>408.98</v>
      </c>
      <c r="I42">
        <v>99.6</v>
      </c>
      <c r="J42">
        <v>1.62</v>
      </c>
      <c r="K42">
        <v>181.5223</v>
      </c>
      <c r="L42">
        <v>181.37260000000001</v>
      </c>
      <c r="M42">
        <v>99.92</v>
      </c>
      <c r="N42">
        <v>0.1497</v>
      </c>
    </row>
    <row r="43" spans="1:14" x14ac:dyDescent="0.2">
      <c r="B43" s="10">
        <v>2</v>
      </c>
      <c r="C43">
        <v>7.75</v>
      </c>
      <c r="D43">
        <v>2.33</v>
      </c>
      <c r="E43">
        <v>30.04</v>
      </c>
      <c r="F43">
        <v>5.42</v>
      </c>
      <c r="G43">
        <v>409.67</v>
      </c>
      <c r="H43">
        <v>408.09</v>
      </c>
      <c r="I43">
        <v>99.61</v>
      </c>
      <c r="J43">
        <v>1.59</v>
      </c>
      <c r="K43">
        <v>181.5437</v>
      </c>
      <c r="L43">
        <v>181.3939</v>
      </c>
      <c r="M43">
        <v>99.92</v>
      </c>
      <c r="N43">
        <v>0.14990000000000001</v>
      </c>
    </row>
    <row r="44" spans="1:14" x14ac:dyDescent="0.2">
      <c r="B44" s="10">
        <v>3</v>
      </c>
      <c r="C44">
        <v>8.77</v>
      </c>
      <c r="D44">
        <v>2.82</v>
      </c>
      <c r="E44">
        <v>32.119999999999997</v>
      </c>
      <c r="F44">
        <v>5.96</v>
      </c>
      <c r="G44">
        <v>460.37</v>
      </c>
      <c r="H44">
        <v>459.08</v>
      </c>
      <c r="I44">
        <v>99.72</v>
      </c>
      <c r="J44">
        <v>1.29</v>
      </c>
      <c r="K44">
        <v>181.49289999999999</v>
      </c>
      <c r="L44">
        <v>181.3434</v>
      </c>
      <c r="M44">
        <v>99.92</v>
      </c>
      <c r="N44">
        <v>0.14949999999999999</v>
      </c>
    </row>
    <row r="45" spans="1:14" x14ac:dyDescent="0.2">
      <c r="B45" s="10">
        <v>4</v>
      </c>
      <c r="C45">
        <v>7.82</v>
      </c>
      <c r="D45">
        <v>2.39</v>
      </c>
      <c r="E45">
        <v>30.54</v>
      </c>
      <c r="F45">
        <v>5.43</v>
      </c>
      <c r="G45">
        <v>433.82</v>
      </c>
      <c r="H45">
        <v>432.48</v>
      </c>
      <c r="I45">
        <v>99.69</v>
      </c>
      <c r="J45">
        <v>1.34</v>
      </c>
      <c r="K45">
        <v>181.57730000000001</v>
      </c>
      <c r="L45">
        <v>181.42779999999999</v>
      </c>
      <c r="M45">
        <v>99.92</v>
      </c>
      <c r="N45">
        <v>0.14940000000000001</v>
      </c>
    </row>
    <row r="46" spans="1:14" x14ac:dyDescent="0.2">
      <c r="B46" s="10">
        <v>5</v>
      </c>
      <c r="C46">
        <v>8.42</v>
      </c>
      <c r="D46">
        <v>2.79</v>
      </c>
      <c r="E46">
        <v>33.11</v>
      </c>
      <c r="F46">
        <v>5.63</v>
      </c>
      <c r="G46">
        <v>422.95</v>
      </c>
      <c r="H46">
        <v>421.86</v>
      </c>
      <c r="I46">
        <v>99.74</v>
      </c>
      <c r="J46">
        <v>1.0900000000000001</v>
      </c>
      <c r="K46">
        <v>181.56229999999999</v>
      </c>
      <c r="L46">
        <v>181.41249999999999</v>
      </c>
      <c r="M46">
        <v>99.92</v>
      </c>
      <c r="N46">
        <v>0.14979999999999999</v>
      </c>
    </row>
    <row r="47" spans="1:14" x14ac:dyDescent="0.2">
      <c r="B47" s="10">
        <v>6</v>
      </c>
      <c r="C47">
        <v>8.82</v>
      </c>
      <c r="D47">
        <v>2.7</v>
      </c>
      <c r="E47">
        <v>30.63</v>
      </c>
      <c r="F47">
        <v>6.12</v>
      </c>
      <c r="G47">
        <v>436.67</v>
      </c>
      <c r="H47">
        <v>434.8</v>
      </c>
      <c r="I47">
        <v>99.57</v>
      </c>
      <c r="J47">
        <v>1.87</v>
      </c>
      <c r="K47">
        <v>181.5635</v>
      </c>
      <c r="L47">
        <v>181.41409999999999</v>
      </c>
      <c r="M47">
        <v>99.92</v>
      </c>
      <c r="N47">
        <v>0.14940000000000001</v>
      </c>
    </row>
    <row r="48" spans="1:14" x14ac:dyDescent="0.2">
      <c r="B48" s="10">
        <v>7</v>
      </c>
      <c r="C48">
        <v>8.56</v>
      </c>
      <c r="D48">
        <v>3</v>
      </c>
      <c r="E48">
        <v>35.049999999999997</v>
      </c>
      <c r="F48">
        <v>5.56</v>
      </c>
      <c r="G48">
        <v>426.77</v>
      </c>
      <c r="H48">
        <v>425.28</v>
      </c>
      <c r="I48">
        <v>99.65</v>
      </c>
      <c r="J48">
        <v>1.5</v>
      </c>
      <c r="K48">
        <v>181.57769999999999</v>
      </c>
      <c r="L48">
        <v>181.428</v>
      </c>
      <c r="M48">
        <v>99.92</v>
      </c>
      <c r="N48">
        <v>0.14960000000000001</v>
      </c>
    </row>
    <row r="49" spans="1:14" x14ac:dyDescent="0.2">
      <c r="B49" s="10">
        <v>8</v>
      </c>
      <c r="C49">
        <v>9.34</v>
      </c>
      <c r="D49">
        <v>2.99</v>
      </c>
      <c r="E49">
        <v>32</v>
      </c>
      <c r="F49">
        <v>6.35</v>
      </c>
      <c r="G49">
        <v>423.46</v>
      </c>
      <c r="H49">
        <v>422.07</v>
      </c>
      <c r="I49">
        <v>99.67</v>
      </c>
      <c r="J49">
        <v>1.39</v>
      </c>
      <c r="K49">
        <v>181.52780000000001</v>
      </c>
      <c r="L49">
        <v>181.37799999999999</v>
      </c>
      <c r="M49">
        <v>99.92</v>
      </c>
      <c r="N49">
        <v>0.14979999999999999</v>
      </c>
    </row>
    <row r="50" spans="1:14" x14ac:dyDescent="0.2">
      <c r="B50" s="10">
        <v>9</v>
      </c>
      <c r="C50">
        <v>8.49</v>
      </c>
      <c r="D50">
        <v>2.71</v>
      </c>
      <c r="E50">
        <v>31.85</v>
      </c>
      <c r="F50">
        <v>5.79</v>
      </c>
      <c r="G50">
        <v>425.05</v>
      </c>
      <c r="H50">
        <v>423.76</v>
      </c>
      <c r="I50">
        <v>99.7</v>
      </c>
      <c r="J50">
        <v>1.29</v>
      </c>
      <c r="K50">
        <v>181.59020000000001</v>
      </c>
      <c r="L50">
        <v>181.44049999999999</v>
      </c>
      <c r="M50">
        <v>99.92</v>
      </c>
      <c r="N50">
        <v>0.1497</v>
      </c>
    </row>
    <row r="51" spans="1:14" x14ac:dyDescent="0.2">
      <c r="B51" s="10">
        <v>10</v>
      </c>
      <c r="C51">
        <v>8.8000000000000007</v>
      </c>
      <c r="D51">
        <v>2.74</v>
      </c>
      <c r="E51">
        <v>31.18</v>
      </c>
      <c r="F51">
        <v>6.05</v>
      </c>
      <c r="G51">
        <v>423.9</v>
      </c>
      <c r="H51">
        <v>422.64</v>
      </c>
      <c r="I51">
        <v>99.7</v>
      </c>
      <c r="J51">
        <v>1.26</v>
      </c>
      <c r="K51">
        <v>181.55950000000001</v>
      </c>
      <c r="L51">
        <v>181.40979999999999</v>
      </c>
      <c r="M51">
        <v>99.92</v>
      </c>
      <c r="N51">
        <v>0.1497</v>
      </c>
    </row>
    <row r="52" spans="1:14" x14ac:dyDescent="0.2">
      <c r="A52" t="s">
        <v>23</v>
      </c>
      <c r="B52" s="39" t="s">
        <v>38</v>
      </c>
      <c r="C52" s="40">
        <f t="shared" ref="C52:N52" si="0">SUM(C42:C51)/10</f>
        <v>8.4509999999999987</v>
      </c>
      <c r="D52" s="41">
        <f t="shared" si="0"/>
        <v>2.6840000000000002</v>
      </c>
      <c r="E52" s="40">
        <f t="shared" si="0"/>
        <v>31.716000000000001</v>
      </c>
      <c r="F52" s="41">
        <f t="shared" si="0"/>
        <v>5.7679999999999998</v>
      </c>
      <c r="G52" s="40">
        <f t="shared" si="0"/>
        <v>427.32700000000006</v>
      </c>
      <c r="H52" s="41">
        <f t="shared" si="0"/>
        <v>425.904</v>
      </c>
      <c r="I52" s="40">
        <f t="shared" si="0"/>
        <v>99.664999999999992</v>
      </c>
      <c r="J52" s="41">
        <f t="shared" si="0"/>
        <v>1.4239999999999999</v>
      </c>
      <c r="K52" s="41">
        <f t="shared" si="0"/>
        <v>181.55172000000002</v>
      </c>
      <c r="L52" s="40">
        <f t="shared" si="0"/>
        <v>181.40205999999998</v>
      </c>
      <c r="M52" s="41">
        <f t="shared" si="0"/>
        <v>99.919999999999987</v>
      </c>
      <c r="N52" s="41">
        <f t="shared" si="0"/>
        <v>0.14964999999999998</v>
      </c>
    </row>
    <row r="53" spans="1:14" x14ac:dyDescent="0.2">
      <c r="B53" s="39" t="s">
        <v>50</v>
      </c>
      <c r="C53" s="40">
        <f>D53+F52</f>
        <v>12.358000000000001</v>
      </c>
      <c r="D53" s="41">
        <f>C37+D37+D36</f>
        <v>6.59</v>
      </c>
      <c r="E53" s="40">
        <f>D53/C53*100</f>
        <v>53.325780870691041</v>
      </c>
      <c r="F53" s="41"/>
      <c r="G53" s="40">
        <f>H53+J52</f>
        <v>118.12400000000001</v>
      </c>
      <c r="H53" s="41">
        <f>C38+D38</f>
        <v>116.7</v>
      </c>
      <c r="I53" s="40">
        <f>H53/G53*100</f>
        <v>98.794487149097549</v>
      </c>
      <c r="J53" s="41"/>
      <c r="K53" s="41">
        <f>L53+N52</f>
        <v>0.21565199999999998</v>
      </c>
      <c r="L53" s="40">
        <f>C39+D39</f>
        <v>6.6002000000000005E-2</v>
      </c>
      <c r="M53" s="41">
        <f>L53/K53*100</f>
        <v>30.605790811121626</v>
      </c>
      <c r="N53" s="41"/>
    </row>
    <row r="54" spans="1:14" x14ac:dyDescent="0.2">
      <c r="B54" s="39" t="s">
        <v>34</v>
      </c>
      <c r="C54" s="40">
        <f>D54+F52</f>
        <v>153.030766</v>
      </c>
      <c r="D54" s="41">
        <f>C31+D31+D30</f>
        <v>147.262766</v>
      </c>
      <c r="E54" s="40">
        <f>D54/C54*100</f>
        <v>96.23082328425383</v>
      </c>
      <c r="F54" s="41"/>
      <c r="G54" s="40">
        <f>H54+J52</f>
        <v>6.2922499999999992</v>
      </c>
      <c r="H54" s="41">
        <f>C32+D32</f>
        <v>4.8682499999999997</v>
      </c>
      <c r="I54" s="40">
        <f>H54/G54*100</f>
        <v>77.368985656958969</v>
      </c>
      <c r="J54" s="41"/>
      <c r="K54" s="41">
        <f>L54+N52</f>
        <v>4.9281590000000008</v>
      </c>
      <c r="L54" s="40">
        <f>N52+D33*3</f>
        <v>4.7785090000000006</v>
      </c>
      <c r="M54" s="41">
        <f>L54/K54*100</f>
        <v>96.963369079609635</v>
      </c>
      <c r="N54" s="41"/>
    </row>
    <row r="55" spans="1:14" x14ac:dyDescent="0.2">
      <c r="E55" s="21"/>
      <c r="I55" s="21"/>
      <c r="M55" s="21"/>
    </row>
    <row r="56" spans="1:14" x14ac:dyDescent="0.2">
      <c r="A56" s="11" t="s">
        <v>24</v>
      </c>
      <c r="B56" s="12" t="s">
        <v>22</v>
      </c>
      <c r="C56" s="12" t="s">
        <v>25</v>
      </c>
      <c r="D56" s="12"/>
      <c r="E56" s="12"/>
      <c r="F56" s="12"/>
      <c r="G56" s="13" t="s">
        <v>26</v>
      </c>
    </row>
    <row r="57" spans="1:14" x14ac:dyDescent="0.2">
      <c r="B57" s="1"/>
    </row>
    <row r="58" spans="1:14" x14ac:dyDescent="0.2">
      <c r="B58" s="1"/>
    </row>
    <row r="61" spans="1:14" x14ac:dyDescent="0.2">
      <c r="B61" s="16" t="s">
        <v>41</v>
      </c>
      <c r="C61" s="17"/>
      <c r="D61" s="17"/>
      <c r="E61" s="17"/>
    </row>
    <row r="62" spans="1:14" x14ac:dyDescent="0.2">
      <c r="B62" s="38" t="s">
        <v>0</v>
      </c>
      <c r="C62" s="38" t="s">
        <v>42</v>
      </c>
      <c r="D62" s="38" t="s">
        <v>2</v>
      </c>
      <c r="E62" s="38" t="s">
        <v>3</v>
      </c>
      <c r="F62" s="38" t="s">
        <v>4</v>
      </c>
      <c r="G62" s="38" t="s">
        <v>5</v>
      </c>
    </row>
    <row r="63" spans="1:14" x14ac:dyDescent="0.2">
      <c r="B63" s="38" t="s">
        <v>97</v>
      </c>
      <c r="C63" s="38" t="s">
        <v>43</v>
      </c>
      <c r="D63" s="38">
        <v>728</v>
      </c>
      <c r="E63" s="38" t="s">
        <v>7</v>
      </c>
      <c r="F63" s="38" t="s">
        <v>55</v>
      </c>
      <c r="G63" s="38">
        <v>4</v>
      </c>
    </row>
    <row r="65" spans="1:14" ht="17" x14ac:dyDescent="0.2">
      <c r="A65" s="15" t="s">
        <v>39</v>
      </c>
      <c r="B65" t="s">
        <v>28</v>
      </c>
      <c r="C65" t="s">
        <v>29</v>
      </c>
      <c r="D65" t="s">
        <v>63</v>
      </c>
    </row>
    <row r="66" spans="1:14" x14ac:dyDescent="0.2">
      <c r="A66" t="s">
        <v>47</v>
      </c>
      <c r="B66" s="4" t="s">
        <v>27</v>
      </c>
      <c r="C66" s="18">
        <v>24</v>
      </c>
      <c r="D66" s="19">
        <v>24</v>
      </c>
      <c r="F66" t="s">
        <v>70</v>
      </c>
    </row>
    <row r="67" spans="1:14" x14ac:dyDescent="0.2">
      <c r="A67" t="s">
        <v>48</v>
      </c>
      <c r="B67" s="10" t="s">
        <v>46</v>
      </c>
      <c r="C67" s="14">
        <v>1</v>
      </c>
      <c r="D67" s="20">
        <v>1</v>
      </c>
      <c r="F67" t="s">
        <v>51</v>
      </c>
    </row>
    <row r="68" spans="1:14" x14ac:dyDescent="0.2">
      <c r="B68" s="10" t="s">
        <v>30</v>
      </c>
      <c r="C68" s="27">
        <v>6.3517390000000002</v>
      </c>
      <c r="D68" s="21">
        <v>6.3517390000000002</v>
      </c>
      <c r="F68" t="s">
        <v>52</v>
      </c>
    </row>
    <row r="69" spans="1:14" x14ac:dyDescent="0.2">
      <c r="B69" s="10" t="s">
        <v>32</v>
      </c>
      <c r="C69" s="21">
        <v>18.139723</v>
      </c>
      <c r="D69" s="21">
        <v>18.139723</v>
      </c>
    </row>
    <row r="70" spans="1:14" x14ac:dyDescent="0.2">
      <c r="B70" s="10" t="s">
        <v>31</v>
      </c>
      <c r="C70" s="21">
        <v>1.3074030000000001</v>
      </c>
      <c r="D70" s="21">
        <v>1.3074030000000001</v>
      </c>
    </row>
    <row r="71" spans="1:14" x14ac:dyDescent="0.2">
      <c r="B71" s="7" t="s">
        <v>33</v>
      </c>
      <c r="C71" s="25">
        <v>1.4331130000000001</v>
      </c>
      <c r="D71" s="25">
        <v>1.4331130000000001</v>
      </c>
    </row>
    <row r="72" spans="1:14" x14ac:dyDescent="0.2">
      <c r="A72" s="14" t="s">
        <v>45</v>
      </c>
      <c r="B72" s="4" t="s">
        <v>27</v>
      </c>
      <c r="C72" s="18">
        <v>24</v>
      </c>
      <c r="D72" s="19">
        <v>24</v>
      </c>
    </row>
    <row r="73" spans="1:14" x14ac:dyDescent="0.2">
      <c r="A73" t="s">
        <v>49</v>
      </c>
      <c r="B73" s="10" t="s">
        <v>46</v>
      </c>
      <c r="C73" s="20">
        <v>1</v>
      </c>
      <c r="D73" s="20">
        <v>1</v>
      </c>
    </row>
    <row r="74" spans="1:14" x14ac:dyDescent="0.2">
      <c r="B74" s="10" t="s">
        <v>30</v>
      </c>
      <c r="C74" s="27">
        <v>1.1536900000000001</v>
      </c>
      <c r="D74" s="21">
        <v>1.1536900000000001</v>
      </c>
    </row>
    <row r="75" spans="1:14" x14ac:dyDescent="0.2">
      <c r="B75" s="10" t="s">
        <v>32</v>
      </c>
      <c r="C75" s="21">
        <v>0.70998700000000003</v>
      </c>
      <c r="D75" s="21">
        <v>0.70998700000000003</v>
      </c>
    </row>
    <row r="76" spans="1:14" x14ac:dyDescent="0.2">
      <c r="B76" s="10" t="s">
        <v>31</v>
      </c>
      <c r="C76" s="21">
        <v>53.96</v>
      </c>
      <c r="D76" s="21">
        <v>53.96</v>
      </c>
    </row>
    <row r="77" spans="1:14" x14ac:dyDescent="0.2">
      <c r="B77" s="7" t="s">
        <v>33</v>
      </c>
      <c r="C77" s="25">
        <v>3.0529000000000001E-2</v>
      </c>
      <c r="D77" s="25">
        <v>3.0529000000000001E-2</v>
      </c>
    </row>
    <row r="78" spans="1:14" x14ac:dyDescent="0.2">
      <c r="B78" s="9"/>
    </row>
    <row r="79" spans="1:14" x14ac:dyDescent="0.2">
      <c r="B79" s="4" t="s">
        <v>11</v>
      </c>
      <c r="C79" s="22" t="s">
        <v>35</v>
      </c>
      <c r="D79" s="5" t="s">
        <v>36</v>
      </c>
      <c r="E79" s="22" t="s">
        <v>12</v>
      </c>
      <c r="F79" s="5" t="s">
        <v>37</v>
      </c>
      <c r="G79" s="22" t="s">
        <v>13</v>
      </c>
      <c r="H79" s="5" t="s">
        <v>14</v>
      </c>
      <c r="I79" s="22" t="s">
        <v>15</v>
      </c>
      <c r="J79" s="5" t="s">
        <v>16</v>
      </c>
      <c r="K79" s="5" t="s">
        <v>17</v>
      </c>
      <c r="L79" s="22" t="s">
        <v>18</v>
      </c>
      <c r="M79" s="5" t="s">
        <v>19</v>
      </c>
      <c r="N79" s="6" t="s">
        <v>20</v>
      </c>
    </row>
    <row r="80" spans="1:14" x14ac:dyDescent="0.2">
      <c r="B80" s="10">
        <v>1</v>
      </c>
      <c r="C80">
        <v>3.77</v>
      </c>
      <c r="D80">
        <v>0.61</v>
      </c>
      <c r="E80">
        <v>16.3</v>
      </c>
      <c r="F80">
        <v>3.15</v>
      </c>
      <c r="G80">
        <v>220.89</v>
      </c>
      <c r="H80">
        <v>219.27</v>
      </c>
      <c r="I80">
        <v>99.26</v>
      </c>
      <c r="J80">
        <v>1.62</v>
      </c>
      <c r="K80">
        <v>135.45590000000001</v>
      </c>
      <c r="L80">
        <v>135.27959999999999</v>
      </c>
      <c r="M80">
        <v>99.87</v>
      </c>
      <c r="N80">
        <v>0.17630000000000001</v>
      </c>
    </row>
    <row r="81" spans="1:14" x14ac:dyDescent="0.2">
      <c r="B81" s="10">
        <v>2</v>
      </c>
      <c r="C81">
        <v>3.45</v>
      </c>
      <c r="D81">
        <v>0.62</v>
      </c>
      <c r="E81">
        <v>18.04</v>
      </c>
      <c r="F81">
        <v>2.83</v>
      </c>
      <c r="G81">
        <v>220.95</v>
      </c>
      <c r="H81">
        <v>219.68</v>
      </c>
      <c r="I81">
        <v>99.42</v>
      </c>
      <c r="J81">
        <v>1.27</v>
      </c>
      <c r="K81">
        <v>135.43870000000001</v>
      </c>
      <c r="L81">
        <v>135.26220000000001</v>
      </c>
      <c r="M81">
        <v>99.87</v>
      </c>
      <c r="N81">
        <v>0.17649999999999999</v>
      </c>
    </row>
    <row r="82" spans="1:14" x14ac:dyDescent="0.2">
      <c r="B82" s="10">
        <v>3</v>
      </c>
      <c r="C82">
        <v>3.49</v>
      </c>
      <c r="D82">
        <v>0.59</v>
      </c>
      <c r="E82">
        <v>16.86</v>
      </c>
      <c r="F82">
        <v>2.9</v>
      </c>
      <c r="G82">
        <v>223.57</v>
      </c>
      <c r="H82">
        <v>221.98</v>
      </c>
      <c r="I82">
        <v>99.29</v>
      </c>
      <c r="J82">
        <v>1.59</v>
      </c>
      <c r="K82">
        <v>135.44290000000001</v>
      </c>
      <c r="L82">
        <v>135.26679999999999</v>
      </c>
      <c r="M82">
        <v>99.87</v>
      </c>
      <c r="N82">
        <v>0.1762</v>
      </c>
    </row>
    <row r="83" spans="1:14" x14ac:dyDescent="0.2">
      <c r="B83" s="10">
        <v>4</v>
      </c>
      <c r="C83">
        <v>3.64</v>
      </c>
      <c r="D83">
        <v>0.68</v>
      </c>
      <c r="E83">
        <v>18.55</v>
      </c>
      <c r="F83">
        <v>2.97</v>
      </c>
      <c r="G83">
        <v>221.17</v>
      </c>
      <c r="H83">
        <v>219.86</v>
      </c>
      <c r="I83">
        <v>99.41</v>
      </c>
      <c r="J83">
        <v>1.31</v>
      </c>
      <c r="K83">
        <v>135.45830000000001</v>
      </c>
      <c r="L83">
        <v>135.2817</v>
      </c>
      <c r="M83">
        <v>99.87</v>
      </c>
      <c r="N83">
        <v>0.17660000000000001</v>
      </c>
    </row>
    <row r="84" spans="1:14" x14ac:dyDescent="0.2">
      <c r="B84" s="10">
        <v>5</v>
      </c>
      <c r="C84">
        <v>3.51</v>
      </c>
      <c r="D84">
        <v>0.62</v>
      </c>
      <c r="E84">
        <v>17.61</v>
      </c>
      <c r="F84">
        <v>2.9</v>
      </c>
      <c r="G84">
        <v>219.95</v>
      </c>
      <c r="H84">
        <v>218.68</v>
      </c>
      <c r="I84">
        <v>99.42</v>
      </c>
      <c r="J84">
        <v>1.26</v>
      </c>
      <c r="K84">
        <v>135.44329999999999</v>
      </c>
      <c r="L84">
        <v>135.2672</v>
      </c>
      <c r="M84">
        <v>99.87</v>
      </c>
      <c r="N84">
        <v>0.17610000000000001</v>
      </c>
    </row>
    <row r="85" spans="1:14" x14ac:dyDescent="0.2">
      <c r="B85" s="10">
        <v>6</v>
      </c>
      <c r="C85">
        <v>3.5</v>
      </c>
      <c r="D85">
        <v>0.63</v>
      </c>
      <c r="E85">
        <v>17.93</v>
      </c>
      <c r="F85">
        <v>2.87</v>
      </c>
      <c r="G85">
        <v>229.55</v>
      </c>
      <c r="H85">
        <v>228.29</v>
      </c>
      <c r="I85">
        <v>99.45</v>
      </c>
      <c r="J85">
        <v>1.26</v>
      </c>
      <c r="K85">
        <v>135.44280000000001</v>
      </c>
      <c r="L85">
        <v>135.26650000000001</v>
      </c>
      <c r="M85">
        <v>99.87</v>
      </c>
      <c r="N85">
        <v>0.17630000000000001</v>
      </c>
    </row>
    <row r="86" spans="1:14" x14ac:dyDescent="0.2">
      <c r="B86" s="10">
        <v>7</v>
      </c>
      <c r="C86">
        <v>3.4</v>
      </c>
      <c r="D86">
        <v>0.59</v>
      </c>
      <c r="E86">
        <v>17.43</v>
      </c>
      <c r="F86">
        <v>2.8</v>
      </c>
      <c r="G86">
        <v>222.25</v>
      </c>
      <c r="H86">
        <v>220.49</v>
      </c>
      <c r="I86">
        <v>99.21</v>
      </c>
      <c r="J86">
        <v>1.77</v>
      </c>
      <c r="K86">
        <v>135.45269999999999</v>
      </c>
      <c r="L86">
        <v>135.27610000000001</v>
      </c>
      <c r="M86">
        <v>99.87</v>
      </c>
      <c r="N86">
        <v>0.17660000000000001</v>
      </c>
    </row>
    <row r="87" spans="1:14" x14ac:dyDescent="0.2">
      <c r="B87" s="10">
        <v>8</v>
      </c>
      <c r="C87">
        <v>3.41</v>
      </c>
      <c r="D87">
        <v>0.59</v>
      </c>
      <c r="E87">
        <v>17.34</v>
      </c>
      <c r="F87">
        <v>2.82</v>
      </c>
      <c r="G87">
        <v>230.75</v>
      </c>
      <c r="H87">
        <v>229.21</v>
      </c>
      <c r="I87">
        <v>99.33</v>
      </c>
      <c r="J87">
        <v>1.54</v>
      </c>
      <c r="K87">
        <v>135.45169999999999</v>
      </c>
      <c r="L87">
        <v>135.27529999999999</v>
      </c>
      <c r="M87">
        <v>99.87</v>
      </c>
      <c r="N87">
        <v>0.17649999999999999</v>
      </c>
    </row>
    <row r="88" spans="1:14" x14ac:dyDescent="0.2">
      <c r="B88" s="10">
        <v>9</v>
      </c>
      <c r="C88">
        <v>3.48</v>
      </c>
      <c r="D88">
        <v>0.6</v>
      </c>
      <c r="E88">
        <v>17.12</v>
      </c>
      <c r="F88">
        <v>2.88</v>
      </c>
      <c r="G88">
        <v>231.05</v>
      </c>
      <c r="H88">
        <v>229.67</v>
      </c>
      <c r="I88">
        <v>99.4</v>
      </c>
      <c r="J88">
        <v>1.38</v>
      </c>
      <c r="K88">
        <v>135.45519999999999</v>
      </c>
      <c r="L88">
        <v>135.27860000000001</v>
      </c>
      <c r="M88">
        <v>99.87</v>
      </c>
      <c r="N88">
        <v>0.17660000000000001</v>
      </c>
    </row>
    <row r="89" spans="1:14" x14ac:dyDescent="0.2">
      <c r="B89" s="10">
        <v>10</v>
      </c>
      <c r="C89">
        <v>3.45</v>
      </c>
      <c r="D89">
        <v>0.59</v>
      </c>
      <c r="E89">
        <v>17.18</v>
      </c>
      <c r="F89">
        <v>2.86</v>
      </c>
      <c r="G89">
        <v>222.27</v>
      </c>
      <c r="H89">
        <v>220.97</v>
      </c>
      <c r="I89">
        <v>99.41</v>
      </c>
      <c r="J89">
        <v>1.3</v>
      </c>
      <c r="K89">
        <v>135.44659999999999</v>
      </c>
      <c r="L89">
        <v>135.27010000000001</v>
      </c>
      <c r="M89">
        <v>99.87</v>
      </c>
      <c r="N89">
        <v>0.1764</v>
      </c>
    </row>
    <row r="90" spans="1:14" x14ac:dyDescent="0.2">
      <c r="A90" t="s">
        <v>23</v>
      </c>
      <c r="B90" s="39" t="s">
        <v>38</v>
      </c>
      <c r="C90" s="40">
        <f t="shared" ref="C90:N90" si="1">SUM(C80:C89)/10</f>
        <v>3.5100000000000002</v>
      </c>
      <c r="D90" s="41">
        <f t="shared" si="1"/>
        <v>0.61199999999999988</v>
      </c>
      <c r="E90" s="40">
        <f t="shared" si="1"/>
        <v>17.436</v>
      </c>
      <c r="F90" s="41">
        <f t="shared" si="1"/>
        <v>2.8980000000000001</v>
      </c>
      <c r="G90" s="40">
        <f t="shared" si="1"/>
        <v>224.24</v>
      </c>
      <c r="H90" s="41">
        <f t="shared" si="1"/>
        <v>222.81</v>
      </c>
      <c r="I90" s="40">
        <f t="shared" si="1"/>
        <v>99.36</v>
      </c>
      <c r="J90" s="41">
        <f t="shared" si="1"/>
        <v>1.4300000000000002</v>
      </c>
      <c r="K90" s="41">
        <f t="shared" si="1"/>
        <v>135.44881000000004</v>
      </c>
      <c r="L90" s="40">
        <f t="shared" si="1"/>
        <v>135.27241000000001</v>
      </c>
      <c r="M90" s="41">
        <f t="shared" si="1"/>
        <v>99.87</v>
      </c>
      <c r="N90" s="41">
        <f t="shared" si="1"/>
        <v>0.17641000000000004</v>
      </c>
    </row>
    <row r="91" spans="1:14" x14ac:dyDescent="0.2">
      <c r="B91" s="39" t="s">
        <v>50</v>
      </c>
      <c r="C91" s="40">
        <f>D91+F90</f>
        <v>5.4716640000000005</v>
      </c>
      <c r="D91" s="41">
        <f>C75+D75+D74</f>
        <v>2.573664</v>
      </c>
      <c r="E91" s="40">
        <f>D91/C91*100</f>
        <v>47.036221522374177</v>
      </c>
      <c r="F91" s="41"/>
      <c r="G91" s="40">
        <f>H91+J90</f>
        <v>109.35000000000001</v>
      </c>
      <c r="H91" s="41">
        <f>C76+D76</f>
        <v>107.92</v>
      </c>
      <c r="I91" s="40">
        <f>H91/G91*100</f>
        <v>98.692272519433004</v>
      </c>
      <c r="J91" s="41"/>
      <c r="K91" s="41">
        <f>L91+N90</f>
        <v>0.23746800000000004</v>
      </c>
      <c r="L91" s="40">
        <f>C77+D77</f>
        <v>6.1058000000000001E-2</v>
      </c>
      <c r="M91" s="41">
        <f>L91/K91*100</f>
        <v>25.712095945558978</v>
      </c>
      <c r="N91" s="41"/>
    </row>
    <row r="92" spans="1:14" x14ac:dyDescent="0.2">
      <c r="B92" s="39" t="s">
        <v>34</v>
      </c>
      <c r="C92" s="40">
        <f>D92+F90</f>
        <v>45.529185000000005</v>
      </c>
      <c r="D92" s="41">
        <f>C69+D69+D68</f>
        <v>42.631185000000002</v>
      </c>
      <c r="E92" s="40">
        <f>D92/C92*100</f>
        <v>93.634852018545899</v>
      </c>
      <c r="F92" s="41"/>
      <c r="G92" s="40">
        <f>H92+J90</f>
        <v>4.0448060000000003</v>
      </c>
      <c r="H92" s="41">
        <f>C70+D70</f>
        <v>2.6148060000000002</v>
      </c>
      <c r="I92" s="40">
        <f>H92/G92*100</f>
        <v>64.646017633478593</v>
      </c>
      <c r="J92" s="41"/>
      <c r="K92" s="41">
        <f>L92+N90</f>
        <v>4.6521589999999993</v>
      </c>
      <c r="L92" s="40">
        <f>N90+D71*3</f>
        <v>4.4757489999999995</v>
      </c>
      <c r="M92" s="41">
        <f>L92/K92*100</f>
        <v>96.207997190121844</v>
      </c>
      <c r="N92" s="41"/>
    </row>
    <row r="93" spans="1:14" x14ac:dyDescent="0.2">
      <c r="E93" s="21"/>
      <c r="I93" s="21"/>
      <c r="M93" s="21"/>
    </row>
    <row r="94" spans="1:14" x14ac:dyDescent="0.2">
      <c r="A94" s="11" t="s">
        <v>24</v>
      </c>
      <c r="B94" s="12" t="s">
        <v>22</v>
      </c>
      <c r="C94" s="12" t="s">
        <v>25</v>
      </c>
      <c r="D94" s="12"/>
      <c r="E94" s="12"/>
      <c r="F94" s="12"/>
      <c r="G94" s="13" t="s">
        <v>26</v>
      </c>
    </row>
    <row r="95" spans="1:14" x14ac:dyDescent="0.2">
      <c r="B95" s="1"/>
    </row>
    <row r="96" spans="1:14" x14ac:dyDescent="0.2">
      <c r="B96" s="1"/>
    </row>
    <row r="100" spans="1:7" x14ac:dyDescent="0.2">
      <c r="B100" s="16" t="s">
        <v>53</v>
      </c>
      <c r="C100" s="17"/>
      <c r="D100" s="17"/>
      <c r="E100" s="17"/>
    </row>
    <row r="101" spans="1:7" x14ac:dyDescent="0.2">
      <c r="B101" s="38" t="s">
        <v>0</v>
      </c>
      <c r="C101" s="38" t="s">
        <v>54</v>
      </c>
      <c r="D101" s="38" t="s">
        <v>2</v>
      </c>
      <c r="E101" s="38" t="s">
        <v>3</v>
      </c>
      <c r="F101" s="38" t="s">
        <v>4</v>
      </c>
      <c r="G101" s="38" t="s">
        <v>5</v>
      </c>
    </row>
    <row r="102" spans="1:7" x14ac:dyDescent="0.2">
      <c r="B102" s="38" t="s">
        <v>98</v>
      </c>
      <c r="C102" s="38" t="s">
        <v>6</v>
      </c>
      <c r="D102" s="38">
        <v>728</v>
      </c>
      <c r="E102" s="38" t="s">
        <v>7</v>
      </c>
      <c r="F102" s="38" t="s">
        <v>55</v>
      </c>
      <c r="G102" s="38">
        <v>8</v>
      </c>
    </row>
    <row r="104" spans="1:7" ht="17" x14ac:dyDescent="0.2">
      <c r="A104" s="15" t="s">
        <v>39</v>
      </c>
      <c r="B104" t="s">
        <v>28</v>
      </c>
      <c r="C104" t="s">
        <v>29</v>
      </c>
      <c r="D104" t="s">
        <v>44</v>
      </c>
    </row>
    <row r="105" spans="1:7" x14ac:dyDescent="0.2">
      <c r="A105" t="s">
        <v>47</v>
      </c>
      <c r="B105" s="4" t="s">
        <v>27</v>
      </c>
      <c r="C105" s="18">
        <v>25</v>
      </c>
      <c r="D105" s="19">
        <v>25</v>
      </c>
      <c r="F105" t="s">
        <v>71</v>
      </c>
    </row>
    <row r="106" spans="1:7" x14ac:dyDescent="0.2">
      <c r="A106" t="s">
        <v>48</v>
      </c>
      <c r="B106" s="10" t="s">
        <v>46</v>
      </c>
      <c r="C106" s="14">
        <v>1</v>
      </c>
      <c r="D106" s="20">
        <v>1</v>
      </c>
      <c r="F106" t="s">
        <v>51</v>
      </c>
    </row>
    <row r="107" spans="1:7" x14ac:dyDescent="0.2">
      <c r="B107" s="10" t="s">
        <v>30</v>
      </c>
      <c r="C107" s="27">
        <v>13.625584999999999</v>
      </c>
      <c r="D107" s="21">
        <v>13.625584999999999</v>
      </c>
      <c r="F107" t="s">
        <v>52</v>
      </c>
    </row>
    <row r="108" spans="1:7" x14ac:dyDescent="0.2">
      <c r="B108" s="10" t="s">
        <v>32</v>
      </c>
      <c r="C108" s="21">
        <v>44.545726999999999</v>
      </c>
      <c r="D108" s="21">
        <v>44.545726999999999</v>
      </c>
    </row>
    <row r="109" spans="1:7" x14ac:dyDescent="0.2">
      <c r="B109" s="10" t="s">
        <v>31</v>
      </c>
      <c r="C109" s="21">
        <v>1.6227499999999999</v>
      </c>
      <c r="D109" s="21">
        <v>1.6227499999999999</v>
      </c>
    </row>
    <row r="110" spans="1:7" x14ac:dyDescent="0.2">
      <c r="B110" s="7" t="s">
        <v>33</v>
      </c>
      <c r="C110" s="25">
        <v>1.542953</v>
      </c>
      <c r="D110" s="25">
        <v>1.542953</v>
      </c>
    </row>
    <row r="111" spans="1:7" x14ac:dyDescent="0.2">
      <c r="A111" s="14" t="s">
        <v>45</v>
      </c>
      <c r="B111" s="4" t="s">
        <v>27</v>
      </c>
      <c r="C111" s="18">
        <v>25</v>
      </c>
      <c r="D111" s="19">
        <v>25</v>
      </c>
    </row>
    <row r="112" spans="1:7" x14ac:dyDescent="0.2">
      <c r="A112" t="s">
        <v>49</v>
      </c>
      <c r="B112" s="10" t="s">
        <v>46</v>
      </c>
      <c r="C112" s="14">
        <v>1</v>
      </c>
      <c r="D112" s="20">
        <v>1</v>
      </c>
    </row>
    <row r="113" spans="2:14" x14ac:dyDescent="0.2">
      <c r="B113" s="10" t="s">
        <v>30</v>
      </c>
      <c r="C113" s="27">
        <v>3.87</v>
      </c>
      <c r="D113" s="27">
        <v>3.87</v>
      </c>
    </row>
    <row r="114" spans="2:14" x14ac:dyDescent="0.2">
      <c r="B114" s="10" t="s">
        <v>32</v>
      </c>
      <c r="C114" s="21">
        <v>1.29</v>
      </c>
      <c r="D114" s="21">
        <v>1.29</v>
      </c>
    </row>
    <row r="115" spans="2:14" x14ac:dyDescent="0.2">
      <c r="B115" s="10" t="s">
        <v>31</v>
      </c>
      <c r="C115" s="21">
        <v>58.35</v>
      </c>
      <c r="D115" s="21">
        <v>58.35</v>
      </c>
    </row>
    <row r="116" spans="2:14" x14ac:dyDescent="0.2">
      <c r="B116" s="7" t="s">
        <v>33</v>
      </c>
      <c r="C116" s="25">
        <v>3.3001000000000003E-2</v>
      </c>
      <c r="D116" s="25">
        <v>3.3001000000000003E-2</v>
      </c>
    </row>
    <row r="117" spans="2:14" x14ac:dyDescent="0.2">
      <c r="B117" s="9"/>
    </row>
    <row r="118" spans="2:14" x14ac:dyDescent="0.2">
      <c r="B118" s="4" t="s">
        <v>11</v>
      </c>
      <c r="C118" s="22" t="s">
        <v>35</v>
      </c>
      <c r="D118" s="5" t="s">
        <v>36</v>
      </c>
      <c r="E118" s="22" t="s">
        <v>12</v>
      </c>
      <c r="F118" s="5" t="s">
        <v>37</v>
      </c>
      <c r="G118" s="22" t="s">
        <v>13</v>
      </c>
      <c r="H118" s="5" t="s">
        <v>14</v>
      </c>
      <c r="I118" s="22" t="s">
        <v>15</v>
      </c>
      <c r="J118" s="5" t="s">
        <v>16</v>
      </c>
      <c r="K118" s="5" t="s">
        <v>17</v>
      </c>
      <c r="L118" s="22" t="s">
        <v>18</v>
      </c>
      <c r="M118" s="5" t="s">
        <v>19</v>
      </c>
      <c r="N118" s="6" t="s">
        <v>20</v>
      </c>
    </row>
    <row r="119" spans="2:14" x14ac:dyDescent="0.2">
      <c r="B119" s="10">
        <v>1</v>
      </c>
      <c r="C119">
        <v>5.21</v>
      </c>
      <c r="D119">
        <v>1.38</v>
      </c>
      <c r="E119">
        <v>26.56</v>
      </c>
      <c r="F119">
        <v>3.83</v>
      </c>
      <c r="G119">
        <v>293.16000000000003</v>
      </c>
      <c r="H119">
        <v>292.05</v>
      </c>
      <c r="I119">
        <v>99.62</v>
      </c>
      <c r="J119">
        <v>1.1000000000000001</v>
      </c>
      <c r="K119">
        <v>162.48240000000001</v>
      </c>
      <c r="L119">
        <v>162.33410000000001</v>
      </c>
      <c r="M119">
        <v>99.91</v>
      </c>
      <c r="N119">
        <v>0.14829999999999999</v>
      </c>
    </row>
    <row r="120" spans="2:14" x14ac:dyDescent="0.2">
      <c r="B120" s="10">
        <v>2</v>
      </c>
      <c r="C120">
        <v>4.93</v>
      </c>
      <c r="D120">
        <v>1.46</v>
      </c>
      <c r="E120">
        <v>29.63</v>
      </c>
      <c r="F120">
        <v>3.47</v>
      </c>
      <c r="G120">
        <v>304.81</v>
      </c>
      <c r="H120">
        <v>302.89999999999998</v>
      </c>
      <c r="I120">
        <v>99.37</v>
      </c>
      <c r="J120">
        <v>1.91</v>
      </c>
      <c r="K120">
        <v>162.52269999999999</v>
      </c>
      <c r="L120">
        <v>162.3749</v>
      </c>
      <c r="M120">
        <v>99.91</v>
      </c>
      <c r="N120">
        <v>0.14779999999999999</v>
      </c>
    </row>
    <row r="121" spans="2:14" x14ac:dyDescent="0.2">
      <c r="B121" s="10">
        <v>3</v>
      </c>
      <c r="C121">
        <v>5.1100000000000003</v>
      </c>
      <c r="D121">
        <v>1.46</v>
      </c>
      <c r="E121">
        <v>28.54</v>
      </c>
      <c r="F121">
        <v>3.65</v>
      </c>
      <c r="G121">
        <v>300.77</v>
      </c>
      <c r="H121">
        <v>299.52999999999997</v>
      </c>
      <c r="I121">
        <v>99.59</v>
      </c>
      <c r="J121">
        <v>1.24</v>
      </c>
      <c r="K121">
        <v>162.49039999999999</v>
      </c>
      <c r="L121">
        <v>162.34270000000001</v>
      </c>
      <c r="M121">
        <v>99.91</v>
      </c>
      <c r="N121">
        <v>0.1477</v>
      </c>
    </row>
    <row r="122" spans="2:14" x14ac:dyDescent="0.2">
      <c r="B122" s="10">
        <v>4</v>
      </c>
      <c r="C122">
        <v>4.93</v>
      </c>
      <c r="D122">
        <v>1.42</v>
      </c>
      <c r="E122">
        <v>28.91</v>
      </c>
      <c r="F122">
        <v>3.5</v>
      </c>
      <c r="G122">
        <v>298.92</v>
      </c>
      <c r="H122">
        <v>297.55</v>
      </c>
      <c r="I122">
        <v>99.54</v>
      </c>
      <c r="J122">
        <v>1.37</v>
      </c>
      <c r="K122">
        <v>162.52770000000001</v>
      </c>
      <c r="L122">
        <v>162.37989999999999</v>
      </c>
      <c r="M122">
        <v>99.91</v>
      </c>
      <c r="N122">
        <v>0.1477</v>
      </c>
    </row>
    <row r="123" spans="2:14" x14ac:dyDescent="0.2">
      <c r="B123" s="10">
        <v>5</v>
      </c>
      <c r="C123">
        <v>5.37</v>
      </c>
      <c r="D123">
        <v>1.49</v>
      </c>
      <c r="E123">
        <v>27.75</v>
      </c>
      <c r="F123">
        <v>3.88</v>
      </c>
      <c r="G123">
        <v>298.82</v>
      </c>
      <c r="H123">
        <v>297.7</v>
      </c>
      <c r="I123">
        <v>99.63</v>
      </c>
      <c r="J123">
        <v>1.1200000000000001</v>
      </c>
      <c r="K123">
        <v>162.51429999999999</v>
      </c>
      <c r="L123">
        <v>162.3665</v>
      </c>
      <c r="M123">
        <v>99.91</v>
      </c>
      <c r="N123">
        <v>0.14779999999999999</v>
      </c>
    </row>
    <row r="124" spans="2:14" x14ac:dyDescent="0.2">
      <c r="B124" s="10">
        <v>6</v>
      </c>
      <c r="C124">
        <v>5.21</v>
      </c>
      <c r="D124">
        <v>1.45</v>
      </c>
      <c r="E124">
        <v>27.77</v>
      </c>
      <c r="F124">
        <v>3.76</v>
      </c>
      <c r="G124">
        <v>301</v>
      </c>
      <c r="H124">
        <v>299.44</v>
      </c>
      <c r="I124">
        <v>99.48</v>
      </c>
      <c r="J124">
        <v>1.56</v>
      </c>
      <c r="K124">
        <v>162.4949</v>
      </c>
      <c r="L124">
        <v>162.34700000000001</v>
      </c>
      <c r="M124">
        <v>99.91</v>
      </c>
      <c r="N124">
        <v>0.1479</v>
      </c>
    </row>
    <row r="125" spans="2:14" x14ac:dyDescent="0.2">
      <c r="B125" s="10">
        <v>7</v>
      </c>
      <c r="C125">
        <v>4.9000000000000004</v>
      </c>
      <c r="D125">
        <v>1.4</v>
      </c>
      <c r="E125">
        <v>28.5</v>
      </c>
      <c r="F125">
        <v>3.51</v>
      </c>
      <c r="G125">
        <v>301.8</v>
      </c>
      <c r="H125">
        <v>300.44</v>
      </c>
      <c r="I125">
        <v>99.55</v>
      </c>
      <c r="J125">
        <v>1.36</v>
      </c>
      <c r="K125">
        <v>162.54140000000001</v>
      </c>
      <c r="L125">
        <v>162.39349999999999</v>
      </c>
      <c r="M125">
        <v>99.91</v>
      </c>
      <c r="N125">
        <v>0.1479</v>
      </c>
    </row>
    <row r="126" spans="2:14" x14ac:dyDescent="0.2">
      <c r="B126" s="10">
        <v>8</v>
      </c>
      <c r="C126">
        <v>4.8600000000000003</v>
      </c>
      <c r="D126">
        <v>1.32</v>
      </c>
      <c r="E126">
        <v>27.27</v>
      </c>
      <c r="F126">
        <v>3.53</v>
      </c>
      <c r="G126">
        <v>299.66000000000003</v>
      </c>
      <c r="H126">
        <v>298.27</v>
      </c>
      <c r="I126">
        <v>99.53</v>
      </c>
      <c r="J126">
        <v>1.4</v>
      </c>
      <c r="K126">
        <v>162.5581</v>
      </c>
      <c r="L126">
        <v>162.41040000000001</v>
      </c>
      <c r="M126">
        <v>99.91</v>
      </c>
      <c r="N126">
        <v>0.1477</v>
      </c>
    </row>
    <row r="127" spans="2:14" x14ac:dyDescent="0.2">
      <c r="B127" s="10">
        <v>9</v>
      </c>
      <c r="C127">
        <v>5.2</v>
      </c>
      <c r="D127">
        <v>1.48</v>
      </c>
      <c r="E127">
        <v>28.47</v>
      </c>
      <c r="F127">
        <v>3.72</v>
      </c>
      <c r="G127">
        <v>302.16000000000003</v>
      </c>
      <c r="H127">
        <v>300.64</v>
      </c>
      <c r="I127">
        <v>99.5</v>
      </c>
      <c r="J127">
        <v>1.52</v>
      </c>
      <c r="K127">
        <v>162.48330000000001</v>
      </c>
      <c r="L127">
        <v>162.3356</v>
      </c>
      <c r="M127">
        <v>99.91</v>
      </c>
      <c r="N127">
        <v>0.14779999999999999</v>
      </c>
    </row>
    <row r="128" spans="2:14" x14ac:dyDescent="0.2">
      <c r="B128" s="10">
        <v>10</v>
      </c>
      <c r="C128">
        <v>5.14</v>
      </c>
      <c r="D128">
        <v>1.53</v>
      </c>
      <c r="E128">
        <v>29.81</v>
      </c>
      <c r="F128">
        <v>3.61</v>
      </c>
      <c r="G128">
        <v>298.82</v>
      </c>
      <c r="H128">
        <v>297.58999999999997</v>
      </c>
      <c r="I128">
        <v>99.59</v>
      </c>
      <c r="J128">
        <v>1.23</v>
      </c>
      <c r="K128">
        <v>162.53129999999999</v>
      </c>
      <c r="L128">
        <v>162.38339999999999</v>
      </c>
      <c r="M128">
        <v>99.91</v>
      </c>
      <c r="N128">
        <v>0.1479</v>
      </c>
    </row>
    <row r="129" spans="1:14" x14ac:dyDescent="0.2">
      <c r="A129" t="s">
        <v>23</v>
      </c>
      <c r="B129" s="39" t="s">
        <v>38</v>
      </c>
      <c r="C129" s="40">
        <f t="shared" ref="C129:N129" si="2">SUM(C119:C128)/10</f>
        <v>5.0860000000000003</v>
      </c>
      <c r="D129" s="41">
        <f t="shared" si="2"/>
        <v>1.4390000000000001</v>
      </c>
      <c r="E129" s="40">
        <f t="shared" si="2"/>
        <v>28.320999999999998</v>
      </c>
      <c r="F129" s="41">
        <f t="shared" si="2"/>
        <v>3.6459999999999999</v>
      </c>
      <c r="G129" s="40">
        <f t="shared" si="2"/>
        <v>299.99200000000002</v>
      </c>
      <c r="H129" s="41">
        <f t="shared" si="2"/>
        <v>298.61099999999999</v>
      </c>
      <c r="I129" s="40">
        <f t="shared" si="2"/>
        <v>99.539999999999992</v>
      </c>
      <c r="J129" s="41">
        <f t="shared" si="2"/>
        <v>1.381</v>
      </c>
      <c r="K129" s="41">
        <f t="shared" si="2"/>
        <v>162.51464999999999</v>
      </c>
      <c r="L129" s="40">
        <f t="shared" si="2"/>
        <v>162.36679999999998</v>
      </c>
      <c r="M129" s="41">
        <f t="shared" si="2"/>
        <v>99.909999999999982</v>
      </c>
      <c r="N129" s="41">
        <f t="shared" si="2"/>
        <v>0.14784999999999998</v>
      </c>
    </row>
    <row r="130" spans="1:14" x14ac:dyDescent="0.2">
      <c r="B130" s="39" t="s">
        <v>50</v>
      </c>
      <c r="C130" s="40">
        <f>D130+F129</f>
        <v>10.096</v>
      </c>
      <c r="D130" s="41">
        <f>C114+D114+D113</f>
        <v>6.45</v>
      </c>
      <c r="E130" s="40">
        <f>D130/C130*100</f>
        <v>63.886687797147388</v>
      </c>
      <c r="F130" s="41"/>
      <c r="G130" s="40">
        <f>H130+J129</f>
        <v>118.081</v>
      </c>
      <c r="H130" s="41">
        <f>C115+D115</f>
        <v>116.7</v>
      </c>
      <c r="I130" s="40">
        <f>H130/G130*100</f>
        <v>98.830463834147736</v>
      </c>
      <c r="J130" s="41"/>
      <c r="K130" s="41">
        <f>L130+N129</f>
        <v>0.21385199999999999</v>
      </c>
      <c r="L130" s="40">
        <f>C116+D116</f>
        <v>6.6002000000000005E-2</v>
      </c>
      <c r="M130" s="41">
        <f>L130/K130*100</f>
        <v>30.863400856667234</v>
      </c>
      <c r="N130" s="41"/>
    </row>
    <row r="131" spans="1:14" x14ac:dyDescent="0.2">
      <c r="B131" s="39" t="s">
        <v>34</v>
      </c>
      <c r="C131" s="40">
        <f>D131+F129</f>
        <v>106.363039</v>
      </c>
      <c r="D131" s="41">
        <f>C108+D108+D107</f>
        <v>102.717039</v>
      </c>
      <c r="E131" s="40">
        <f>D131/C131*100</f>
        <v>96.572117500328275</v>
      </c>
      <c r="F131" s="41"/>
      <c r="G131" s="40">
        <f>H131+J129</f>
        <v>4.6265000000000001</v>
      </c>
      <c r="H131" s="41">
        <f>C109+D109</f>
        <v>3.2454999999999998</v>
      </c>
      <c r="I131" s="40">
        <f>H131/G131*100</f>
        <v>70.150221549767636</v>
      </c>
      <c r="J131" s="41"/>
      <c r="K131" s="41">
        <f>L131+N129</f>
        <v>4.9245590000000004</v>
      </c>
      <c r="L131" s="40">
        <f>N129+D110*3</f>
        <v>4.7767090000000003</v>
      </c>
      <c r="M131" s="41">
        <f>L131/K131*100</f>
        <v>96.997700707819718</v>
      </c>
      <c r="N131" s="41"/>
    </row>
    <row r="132" spans="1:14" x14ac:dyDescent="0.2">
      <c r="E132" s="21"/>
      <c r="I132" s="21"/>
      <c r="M132" s="21"/>
    </row>
    <row r="133" spans="1:14" x14ac:dyDescent="0.2">
      <c r="A133" s="11" t="s">
        <v>24</v>
      </c>
      <c r="B133" s="12" t="s">
        <v>22</v>
      </c>
      <c r="C133" s="12" t="s">
        <v>25</v>
      </c>
      <c r="D133" s="12"/>
      <c r="E133" s="12"/>
      <c r="F133" s="12"/>
      <c r="G133" s="13" t="s">
        <v>26</v>
      </c>
    </row>
    <row r="134" spans="1:14" x14ac:dyDescent="0.2">
      <c r="B134" s="1"/>
    </row>
    <row r="135" spans="1:14" x14ac:dyDescent="0.2">
      <c r="B135" s="1"/>
    </row>
  </sheetData>
  <mergeCells count="1">
    <mergeCell ref="B23:J23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F5213-1942-4945-915F-4EC6808BC28C}">
  <dimension ref="A4:X55"/>
  <sheetViews>
    <sheetView tabSelected="1" zoomScale="114" workbookViewId="0">
      <selection activeCell="G19" sqref="G19"/>
    </sheetView>
  </sheetViews>
  <sheetFormatPr baseColWidth="10" defaultRowHeight="16" x14ac:dyDescent="0.2"/>
  <cols>
    <col min="2" max="2" width="8.83203125" customWidth="1"/>
    <col min="3" max="3" width="8" customWidth="1"/>
    <col min="4" max="4" width="6.6640625" customWidth="1"/>
    <col min="5" max="5" width="10.6640625" customWidth="1"/>
    <col min="6" max="6" width="7" customWidth="1"/>
    <col min="7" max="7" width="8.5" customWidth="1"/>
    <col min="8" max="8" width="8.6640625" customWidth="1"/>
    <col min="9" max="9" width="9" customWidth="1"/>
    <col min="10" max="10" width="8.1640625" customWidth="1"/>
  </cols>
  <sheetData>
    <row r="4" spans="1:24" x14ac:dyDescent="0.2">
      <c r="B4" s="38" t="s">
        <v>0</v>
      </c>
      <c r="C4" s="38" t="s">
        <v>42</v>
      </c>
      <c r="D4" s="38" t="s">
        <v>2</v>
      </c>
      <c r="E4" s="38" t="s">
        <v>3</v>
      </c>
      <c r="F4" s="38" t="s">
        <v>4</v>
      </c>
      <c r="G4" s="38" t="s">
        <v>5</v>
      </c>
      <c r="P4" s="15"/>
    </row>
    <row r="5" spans="1:24" x14ac:dyDescent="0.2">
      <c r="B5" s="38"/>
      <c r="C5" s="38" t="s">
        <v>43</v>
      </c>
      <c r="D5" s="38">
        <v>728</v>
      </c>
      <c r="E5" s="38" t="s">
        <v>7</v>
      </c>
      <c r="F5" s="38" t="s">
        <v>55</v>
      </c>
      <c r="G5" s="38">
        <v>4</v>
      </c>
      <c r="R5" s="14"/>
      <c r="S5" s="14"/>
    </row>
    <row r="6" spans="1:24" x14ac:dyDescent="0.2">
      <c r="R6" s="14"/>
      <c r="S6" s="14"/>
    </row>
    <row r="7" spans="1:24" x14ac:dyDescent="0.2">
      <c r="A7" s="14"/>
      <c r="B7" s="14" t="s">
        <v>121</v>
      </c>
      <c r="C7" s="14"/>
      <c r="O7" s="54"/>
      <c r="P7" s="54"/>
      <c r="Q7" s="54"/>
      <c r="R7" s="31"/>
      <c r="S7" s="31"/>
      <c r="T7" s="54"/>
      <c r="U7" s="54"/>
      <c r="V7" s="54"/>
      <c r="W7" s="54"/>
      <c r="X7" s="54"/>
    </row>
    <row r="8" spans="1:24" x14ac:dyDescent="0.2">
      <c r="C8" s="68" t="s">
        <v>85</v>
      </c>
      <c r="D8" s="68"/>
      <c r="E8" s="68"/>
      <c r="F8" s="68"/>
      <c r="G8" s="68" t="s">
        <v>91</v>
      </c>
      <c r="H8" s="68"/>
      <c r="I8" s="68"/>
      <c r="J8" s="68"/>
      <c r="K8" s="68" t="s">
        <v>92</v>
      </c>
      <c r="L8" s="68"/>
      <c r="M8" s="68"/>
      <c r="N8" s="68"/>
      <c r="O8" s="54"/>
      <c r="P8" s="54"/>
      <c r="Q8" s="54"/>
      <c r="R8" s="31"/>
      <c r="S8" s="31"/>
      <c r="T8" s="54"/>
      <c r="U8" s="54"/>
      <c r="V8" s="54"/>
      <c r="W8" s="54"/>
      <c r="X8" s="54"/>
    </row>
    <row r="9" spans="1:24" x14ac:dyDescent="0.2">
      <c r="B9" s="45" t="s">
        <v>81</v>
      </c>
      <c r="C9" s="48" t="s">
        <v>82</v>
      </c>
      <c r="D9" s="5" t="s">
        <v>83</v>
      </c>
      <c r="E9" s="22" t="s">
        <v>84</v>
      </c>
      <c r="F9" s="5" t="s">
        <v>86</v>
      </c>
      <c r="G9" s="22" t="s">
        <v>87</v>
      </c>
      <c r="H9" s="5" t="s">
        <v>88</v>
      </c>
      <c r="I9" s="22" t="s">
        <v>89</v>
      </c>
      <c r="J9" s="5" t="s">
        <v>90</v>
      </c>
      <c r="K9" s="5" t="s">
        <v>93</v>
      </c>
      <c r="L9" s="22" t="s">
        <v>94</v>
      </c>
      <c r="M9" s="5" t="s">
        <v>89</v>
      </c>
      <c r="N9" s="6" t="s">
        <v>95</v>
      </c>
      <c r="O9" s="54"/>
      <c r="P9" s="54"/>
      <c r="Q9" s="54"/>
      <c r="R9" s="31"/>
      <c r="S9" s="31"/>
      <c r="T9" s="54"/>
      <c r="U9" s="54"/>
      <c r="V9" s="54"/>
      <c r="W9" s="54"/>
      <c r="X9" s="54"/>
    </row>
    <row r="10" spans="1:24" x14ac:dyDescent="0.2">
      <c r="B10" s="46" t="s">
        <v>109</v>
      </c>
      <c r="C10" s="51">
        <v>3.5100000000000002</v>
      </c>
      <c r="D10" s="21">
        <v>0.61199999999999988</v>
      </c>
      <c r="E10" s="21">
        <v>17.436</v>
      </c>
      <c r="F10" s="21">
        <v>2.8980000000000001</v>
      </c>
      <c r="G10" s="21">
        <v>224.24</v>
      </c>
      <c r="H10" s="21">
        <v>222.81</v>
      </c>
      <c r="I10" s="21">
        <v>99.36</v>
      </c>
      <c r="J10" s="21">
        <v>1.4300000000000002</v>
      </c>
      <c r="K10" s="21">
        <v>135.44881000000004</v>
      </c>
      <c r="L10" s="21">
        <v>135.27241000000001</v>
      </c>
      <c r="M10" s="21">
        <v>99.87</v>
      </c>
      <c r="N10" s="24">
        <v>0.17641000000000004</v>
      </c>
      <c r="O10" s="54"/>
      <c r="P10" s="54"/>
      <c r="Q10" s="54"/>
      <c r="R10" s="31"/>
      <c r="S10" s="31"/>
      <c r="T10" s="54"/>
      <c r="U10" s="54"/>
      <c r="V10" s="54"/>
      <c r="W10" s="54"/>
      <c r="X10" s="54"/>
    </row>
    <row r="11" spans="1:24" x14ac:dyDescent="0.2">
      <c r="B11" s="46">
        <v>1</v>
      </c>
      <c r="C11" s="10">
        <v>3.15</v>
      </c>
      <c r="D11">
        <v>0.55000000000000004</v>
      </c>
      <c r="E11">
        <v>17.59</v>
      </c>
      <c r="F11">
        <v>2.6</v>
      </c>
      <c r="G11">
        <v>200.42</v>
      </c>
      <c r="H11">
        <v>199.17</v>
      </c>
      <c r="I11">
        <v>99.38</v>
      </c>
      <c r="J11">
        <v>1.25</v>
      </c>
      <c r="K11">
        <v>135.4511</v>
      </c>
      <c r="L11">
        <v>135.27420000000001</v>
      </c>
      <c r="M11">
        <v>99.87</v>
      </c>
      <c r="N11" s="50">
        <v>0.1769</v>
      </c>
      <c r="O11" s="54"/>
      <c r="P11" s="55"/>
      <c r="Q11" s="54"/>
      <c r="R11" s="55"/>
      <c r="S11" s="55"/>
      <c r="T11" s="54"/>
      <c r="U11" s="54"/>
      <c r="V11" s="54"/>
      <c r="W11" s="54"/>
      <c r="X11" s="54"/>
    </row>
    <row r="12" spans="1:24" x14ac:dyDescent="0.2">
      <c r="B12" s="46">
        <v>2</v>
      </c>
      <c r="C12" s="10">
        <v>5.35</v>
      </c>
      <c r="D12">
        <v>0.84</v>
      </c>
      <c r="E12">
        <v>15.78</v>
      </c>
      <c r="F12">
        <v>4.51</v>
      </c>
      <c r="G12">
        <v>287.37</v>
      </c>
      <c r="H12">
        <v>286.06</v>
      </c>
      <c r="I12">
        <v>99.54</v>
      </c>
      <c r="J12">
        <v>1.31</v>
      </c>
      <c r="K12">
        <v>169.92619999999999</v>
      </c>
      <c r="L12">
        <v>169.7474</v>
      </c>
      <c r="M12">
        <v>99.89</v>
      </c>
      <c r="N12" s="50">
        <v>0.17879999999999999</v>
      </c>
      <c r="O12" s="54"/>
      <c r="P12" s="54"/>
      <c r="Q12" s="54"/>
      <c r="R12" s="55"/>
      <c r="S12" s="55"/>
      <c r="T12" s="54"/>
      <c r="U12" s="54"/>
      <c r="V12" s="54"/>
      <c r="W12" s="54"/>
      <c r="X12" s="54"/>
    </row>
    <row r="13" spans="1:24" x14ac:dyDescent="0.2">
      <c r="B13" s="46">
        <v>4</v>
      </c>
      <c r="C13" s="10">
        <v>10.199999999999999</v>
      </c>
      <c r="D13">
        <v>1.58</v>
      </c>
      <c r="E13">
        <v>15.48</v>
      </c>
      <c r="F13">
        <v>8.6199999999999992</v>
      </c>
      <c r="G13">
        <v>365.68</v>
      </c>
      <c r="H13">
        <v>363.71</v>
      </c>
      <c r="I13">
        <v>99.46</v>
      </c>
      <c r="J13">
        <v>1.97</v>
      </c>
      <c r="K13">
        <v>196.85040000000001</v>
      </c>
      <c r="L13">
        <v>196.6678</v>
      </c>
      <c r="M13">
        <v>99.91</v>
      </c>
      <c r="N13" s="50">
        <v>0.18260000000000001</v>
      </c>
      <c r="O13" s="54"/>
      <c r="P13" s="54"/>
      <c r="Q13" s="54"/>
      <c r="R13" s="31"/>
      <c r="S13" s="31"/>
      <c r="T13" s="54"/>
      <c r="U13" s="54"/>
      <c r="V13" s="54"/>
      <c r="W13" s="54"/>
      <c r="X13" s="54"/>
    </row>
    <row r="14" spans="1:24" x14ac:dyDescent="0.2">
      <c r="B14" s="46">
        <v>8</v>
      </c>
      <c r="C14" s="10">
        <v>20.75</v>
      </c>
      <c r="D14">
        <v>3.42</v>
      </c>
      <c r="E14">
        <v>16.489999999999998</v>
      </c>
      <c r="F14">
        <v>17.329999999999998</v>
      </c>
      <c r="G14">
        <v>521.07000000000005</v>
      </c>
      <c r="H14">
        <v>519.44000000000005</v>
      </c>
      <c r="I14">
        <v>99.69</v>
      </c>
      <c r="J14">
        <v>1.63</v>
      </c>
      <c r="K14">
        <v>250.2662</v>
      </c>
      <c r="L14">
        <v>250.07669999999999</v>
      </c>
      <c r="M14">
        <v>99.92</v>
      </c>
      <c r="N14" s="50">
        <v>0.1895</v>
      </c>
      <c r="O14" s="54"/>
      <c r="P14" s="54"/>
      <c r="Q14" s="54"/>
      <c r="R14" s="31"/>
      <c r="S14" s="31"/>
      <c r="T14" s="54"/>
      <c r="U14" s="54"/>
      <c r="V14" s="54"/>
      <c r="W14" s="54"/>
      <c r="X14" s="54"/>
    </row>
    <row r="15" spans="1:24" x14ac:dyDescent="0.2">
      <c r="B15" s="47">
        <v>16</v>
      </c>
      <c r="C15" s="7">
        <v>49.41</v>
      </c>
      <c r="D15" s="3">
        <v>8.0500000000000007</v>
      </c>
      <c r="E15" s="3">
        <v>16.29</v>
      </c>
      <c r="F15" s="3">
        <v>41.37</v>
      </c>
      <c r="G15" s="3">
        <v>749.82</v>
      </c>
      <c r="H15" s="3">
        <v>747.48</v>
      </c>
      <c r="I15" s="3">
        <v>99.69</v>
      </c>
      <c r="J15" s="3">
        <v>2.34</v>
      </c>
      <c r="K15" s="3">
        <v>293.2978</v>
      </c>
      <c r="L15" s="3">
        <v>293.09309999999999</v>
      </c>
      <c r="M15" s="3">
        <v>99.93</v>
      </c>
      <c r="N15" s="8">
        <v>0.20469999999999999</v>
      </c>
      <c r="O15" s="54"/>
      <c r="P15" s="54"/>
      <c r="Q15" s="54"/>
      <c r="R15" s="31"/>
      <c r="S15" s="31"/>
      <c r="T15" s="54"/>
      <c r="U15" s="54"/>
      <c r="V15" s="54"/>
      <c r="W15" s="54"/>
      <c r="X15" s="54"/>
    </row>
    <row r="16" spans="1:24" x14ac:dyDescent="0.2">
      <c r="O16" s="54"/>
      <c r="P16" s="54"/>
      <c r="Q16" s="54"/>
      <c r="R16" s="31"/>
      <c r="S16" s="31"/>
      <c r="T16" s="54"/>
      <c r="U16" s="54"/>
      <c r="V16" s="54"/>
      <c r="W16" s="54"/>
      <c r="X16" s="54"/>
    </row>
    <row r="17" spans="1:24" x14ac:dyDescent="0.2">
      <c r="O17" s="54"/>
      <c r="P17" s="54"/>
      <c r="Q17" s="54"/>
      <c r="R17" s="54"/>
      <c r="S17" s="54"/>
      <c r="T17" s="54"/>
      <c r="U17" s="54"/>
      <c r="V17" s="54"/>
      <c r="W17" s="54"/>
      <c r="X17" s="54"/>
    </row>
    <row r="18" spans="1:24" x14ac:dyDescent="0.2">
      <c r="O18" s="54"/>
      <c r="P18" s="54"/>
      <c r="Q18" s="54"/>
      <c r="R18" s="54"/>
      <c r="S18" s="54"/>
      <c r="T18" s="54"/>
      <c r="U18" s="54"/>
      <c r="V18" s="54"/>
      <c r="W18" s="54"/>
      <c r="X18" s="54"/>
    </row>
    <row r="19" spans="1:24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</row>
    <row r="20" spans="1:24" x14ac:dyDescent="0.2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</row>
    <row r="21" spans="1:24" x14ac:dyDescent="0.2">
      <c r="A21" s="14"/>
      <c r="B21" s="14" t="s">
        <v>122</v>
      </c>
      <c r="C21" s="14"/>
      <c r="D21" s="14"/>
      <c r="O21" s="54"/>
      <c r="P21" s="54"/>
      <c r="Q21" s="54"/>
      <c r="R21" s="54"/>
      <c r="S21" s="54"/>
      <c r="T21" s="54"/>
      <c r="U21" s="54"/>
      <c r="V21" s="54"/>
      <c r="W21" s="54"/>
      <c r="X21" s="54"/>
    </row>
    <row r="22" spans="1:24" x14ac:dyDescent="0.2">
      <c r="C22" s="68" t="s">
        <v>85</v>
      </c>
      <c r="D22" s="68"/>
      <c r="E22" s="68"/>
      <c r="F22" s="68"/>
      <c r="G22" s="68" t="s">
        <v>91</v>
      </c>
      <c r="H22" s="68"/>
      <c r="I22" s="68"/>
      <c r="J22" s="68"/>
      <c r="K22" s="68" t="s">
        <v>92</v>
      </c>
      <c r="L22" s="68"/>
      <c r="M22" s="68"/>
      <c r="N22" s="68"/>
      <c r="O22" s="54"/>
      <c r="P22" s="33" t="s">
        <v>68</v>
      </c>
      <c r="Q22" s="33" t="s">
        <v>106</v>
      </c>
      <c r="R22" s="33"/>
      <c r="S22" s="33"/>
      <c r="T22" s="33"/>
      <c r="U22" s="33"/>
      <c r="V22" s="33"/>
      <c r="W22" s="33"/>
      <c r="X22" s="54"/>
    </row>
    <row r="23" spans="1:24" x14ac:dyDescent="0.2">
      <c r="A23" t="s">
        <v>110</v>
      </c>
      <c r="B23" s="45" t="s">
        <v>81</v>
      </c>
      <c r="C23" s="48" t="s">
        <v>82</v>
      </c>
      <c r="D23" s="5" t="s">
        <v>83</v>
      </c>
      <c r="E23" s="22" t="s">
        <v>84</v>
      </c>
      <c r="F23" s="5" t="s">
        <v>86</v>
      </c>
      <c r="G23" s="22" t="s">
        <v>87</v>
      </c>
      <c r="H23" s="5" t="s">
        <v>88</v>
      </c>
      <c r="I23" s="22" t="s">
        <v>89</v>
      </c>
      <c r="J23" s="5" t="s">
        <v>90</v>
      </c>
      <c r="K23" s="5" t="s">
        <v>93</v>
      </c>
      <c r="L23" s="22" t="s">
        <v>94</v>
      </c>
      <c r="M23" s="5" t="s">
        <v>89</v>
      </c>
      <c r="N23" s="6" t="s">
        <v>95</v>
      </c>
      <c r="O23" s="54"/>
      <c r="P23" s="28" t="s">
        <v>27</v>
      </c>
      <c r="Q23" s="56">
        <v>22</v>
      </c>
      <c r="R23" s="56">
        <v>23</v>
      </c>
      <c r="S23" s="56">
        <v>24</v>
      </c>
      <c r="T23" s="56">
        <v>25</v>
      </c>
      <c r="U23" s="56">
        <v>26</v>
      </c>
      <c r="V23" s="56">
        <v>27</v>
      </c>
      <c r="W23" s="57">
        <v>28</v>
      </c>
      <c r="X23" s="54"/>
    </row>
    <row r="24" spans="1:24" x14ac:dyDescent="0.2">
      <c r="A24" t="s">
        <v>112</v>
      </c>
      <c r="B24" s="46" t="s">
        <v>109</v>
      </c>
      <c r="C24" s="51">
        <v>5.4716640000000005</v>
      </c>
      <c r="D24" s="21">
        <v>2.573664</v>
      </c>
      <c r="E24" s="21">
        <v>47.036221522374177</v>
      </c>
      <c r="F24" s="21">
        <v>2.8980000000000001</v>
      </c>
      <c r="G24" s="21">
        <f>J24+H24</f>
        <v>109.35000000000001</v>
      </c>
      <c r="H24" s="21">
        <v>107.92</v>
      </c>
      <c r="I24" s="21">
        <v>98.692272519433004</v>
      </c>
      <c r="J24" s="21">
        <v>1.4300000000000002</v>
      </c>
      <c r="K24" s="21">
        <f>L24+N24</f>
        <v>0.23746800000000004</v>
      </c>
      <c r="L24" s="21">
        <v>6.1058000000000001E-2</v>
      </c>
      <c r="M24" s="21">
        <v>25.712095945558978</v>
      </c>
      <c r="N24" s="24">
        <v>0.17641000000000004</v>
      </c>
      <c r="O24" s="54"/>
      <c r="P24" s="29" t="s">
        <v>64</v>
      </c>
      <c r="Q24" s="58">
        <v>0.30944899999999997</v>
      </c>
      <c r="R24" s="58">
        <v>0.580986</v>
      </c>
      <c r="S24" s="58">
        <v>1.1536900000000001</v>
      </c>
      <c r="T24" s="58">
        <v>1.981185</v>
      </c>
      <c r="U24" s="58">
        <v>4.0958680000000003</v>
      </c>
      <c r="V24" s="33">
        <v>6.77</v>
      </c>
      <c r="W24" s="59">
        <v>13.69</v>
      </c>
      <c r="X24" s="54"/>
    </row>
    <row r="25" spans="1:24" x14ac:dyDescent="0.2">
      <c r="A25" t="s">
        <v>112</v>
      </c>
      <c r="B25" s="46">
        <v>1</v>
      </c>
      <c r="C25" s="51">
        <f>D25+F25</f>
        <v>5.1736640000000005</v>
      </c>
      <c r="D25" s="21">
        <v>2.573664</v>
      </c>
      <c r="F25">
        <v>2.6</v>
      </c>
      <c r="G25" s="21">
        <f t="shared" ref="G25:G29" si="0">J25+H25</f>
        <v>109.17</v>
      </c>
      <c r="H25" s="21">
        <v>107.92</v>
      </c>
      <c r="J25">
        <v>1.25</v>
      </c>
      <c r="K25" s="21">
        <f t="shared" ref="K25:K29" si="1">L25+N25</f>
        <v>0.237958</v>
      </c>
      <c r="L25" s="21">
        <v>6.1058000000000001E-2</v>
      </c>
      <c r="M25" s="21"/>
      <c r="N25" s="50">
        <v>0.1769</v>
      </c>
      <c r="O25" s="54"/>
      <c r="P25" s="29" t="s">
        <v>65</v>
      </c>
      <c r="Q25" s="58">
        <v>0.40713100000000002</v>
      </c>
      <c r="R25" s="58">
        <v>0.665489</v>
      </c>
      <c r="S25" s="58">
        <v>0.70998700000000003</v>
      </c>
      <c r="T25" s="58">
        <v>1.2236100000000001</v>
      </c>
      <c r="U25" s="58">
        <v>1.3767259999999999</v>
      </c>
      <c r="V25" s="33">
        <v>2.48</v>
      </c>
      <c r="W25" s="59">
        <v>2.92</v>
      </c>
      <c r="X25" s="54"/>
    </row>
    <row r="26" spans="1:24" x14ac:dyDescent="0.2">
      <c r="A26" t="s">
        <v>111</v>
      </c>
      <c r="B26" s="46">
        <v>2</v>
      </c>
      <c r="C26" s="51">
        <f t="shared" ref="C26:C29" si="2">D26+F26</f>
        <v>8.9384049999999995</v>
      </c>
      <c r="D26">
        <v>4.4284049999999997</v>
      </c>
      <c r="F26">
        <v>4.51</v>
      </c>
      <c r="G26" s="21">
        <f t="shared" si="0"/>
        <v>118.17</v>
      </c>
      <c r="H26">
        <v>116.86</v>
      </c>
      <c r="J26">
        <v>1.31</v>
      </c>
      <c r="K26" s="21">
        <f t="shared" si="1"/>
        <v>0.24480199999999999</v>
      </c>
      <c r="L26" s="21">
        <v>6.6002000000000005E-2</v>
      </c>
      <c r="M26" s="21"/>
      <c r="N26" s="50">
        <v>0.17879999999999999</v>
      </c>
      <c r="O26" s="54"/>
      <c r="P26" s="29" t="s">
        <v>66</v>
      </c>
      <c r="Q26" s="58">
        <v>49.74</v>
      </c>
      <c r="R26" s="58">
        <v>54.15</v>
      </c>
      <c r="S26" s="58">
        <v>53.96</v>
      </c>
      <c r="T26" s="58">
        <v>58.43</v>
      </c>
      <c r="U26" s="58">
        <v>57.96</v>
      </c>
      <c r="V26" s="33">
        <v>62.11</v>
      </c>
      <c r="W26" s="59">
        <v>61.83</v>
      </c>
      <c r="X26" s="54"/>
    </row>
    <row r="27" spans="1:24" x14ac:dyDescent="0.2">
      <c r="A27" t="s">
        <v>113</v>
      </c>
      <c r="B27" s="46">
        <v>4</v>
      </c>
      <c r="C27" s="51">
        <f t="shared" si="2"/>
        <v>15.46932</v>
      </c>
      <c r="D27">
        <v>6.8493200000000005</v>
      </c>
      <c r="F27">
        <v>8.6199999999999992</v>
      </c>
      <c r="G27" s="21">
        <f t="shared" si="0"/>
        <v>117.89</v>
      </c>
      <c r="H27">
        <v>115.92</v>
      </c>
      <c r="J27">
        <v>1.97</v>
      </c>
      <c r="K27" s="21">
        <f t="shared" si="1"/>
        <v>0.24860200000000002</v>
      </c>
      <c r="L27" s="21">
        <v>6.6002000000000005E-2</v>
      </c>
      <c r="M27" s="21"/>
      <c r="N27" s="50">
        <v>0.18260000000000001</v>
      </c>
      <c r="O27" s="54"/>
      <c r="P27" s="30" t="s">
        <v>67</v>
      </c>
      <c r="Q27" s="60">
        <v>2.8056999999999999E-2</v>
      </c>
      <c r="R27" s="60">
        <v>3.0529000000000001E-2</v>
      </c>
      <c r="S27" s="60">
        <v>3.0529000000000001E-2</v>
      </c>
      <c r="T27" s="60">
        <v>3.3001000000000003E-2</v>
      </c>
      <c r="U27" s="60">
        <v>3.3001000000000003E-2</v>
      </c>
      <c r="V27" s="61">
        <v>0.04</v>
      </c>
      <c r="W27" s="62">
        <v>0.04</v>
      </c>
      <c r="X27" s="54"/>
    </row>
    <row r="28" spans="1:24" x14ac:dyDescent="0.2">
      <c r="A28" t="s">
        <v>114</v>
      </c>
      <c r="B28" s="46">
        <v>8</v>
      </c>
      <c r="C28" s="51">
        <f t="shared" si="2"/>
        <v>29.06</v>
      </c>
      <c r="D28">
        <v>11.73</v>
      </c>
      <c r="F28">
        <v>17.329999999999998</v>
      </c>
      <c r="G28" s="21">
        <f t="shared" si="0"/>
        <v>125.85</v>
      </c>
      <c r="H28">
        <v>124.22</v>
      </c>
      <c r="J28">
        <v>1.63</v>
      </c>
      <c r="K28" s="21">
        <f t="shared" si="1"/>
        <v>0.26950000000000002</v>
      </c>
      <c r="L28" s="21">
        <v>0.08</v>
      </c>
      <c r="N28" s="50">
        <v>0.1895</v>
      </c>
      <c r="O28" s="54"/>
      <c r="P28" s="54"/>
      <c r="Q28" s="54"/>
      <c r="R28" s="54"/>
      <c r="S28" s="54"/>
      <c r="T28" s="54"/>
      <c r="U28" s="54"/>
      <c r="V28" s="54"/>
      <c r="W28" s="54"/>
      <c r="X28" s="54"/>
    </row>
    <row r="29" spans="1:24" x14ac:dyDescent="0.2">
      <c r="A29" t="s">
        <v>115</v>
      </c>
      <c r="B29" s="47">
        <v>16</v>
      </c>
      <c r="C29" s="65">
        <f t="shared" si="2"/>
        <v>60.9</v>
      </c>
      <c r="D29" s="3">
        <v>19.53</v>
      </c>
      <c r="E29" s="3"/>
      <c r="F29" s="3">
        <v>41.37</v>
      </c>
      <c r="G29" s="25">
        <f t="shared" si="0"/>
        <v>126</v>
      </c>
      <c r="H29" s="3">
        <v>123.66</v>
      </c>
      <c r="I29" s="3"/>
      <c r="J29" s="3">
        <v>2.34</v>
      </c>
      <c r="K29" s="25">
        <f t="shared" si="1"/>
        <v>0.28470000000000001</v>
      </c>
      <c r="L29" s="3">
        <v>0.08</v>
      </c>
      <c r="M29" s="3"/>
      <c r="N29" s="8">
        <v>0.20469999999999999</v>
      </c>
      <c r="O29" s="54"/>
      <c r="P29" s="54"/>
      <c r="Q29" s="54"/>
      <c r="R29" s="54"/>
      <c r="S29" s="54"/>
      <c r="T29" s="54"/>
      <c r="U29" s="54"/>
      <c r="V29" s="54"/>
      <c r="W29" s="54"/>
      <c r="X29" s="54"/>
    </row>
    <row r="30" spans="1:24" x14ac:dyDescent="0.2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</row>
    <row r="31" spans="1:24" x14ac:dyDescent="0.2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</row>
    <row r="34" spans="1:14" x14ac:dyDescent="0.2">
      <c r="A34" s="14"/>
      <c r="B34" s="14"/>
      <c r="C34" s="14"/>
    </row>
    <row r="35" spans="1:14" x14ac:dyDescent="0.2"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</row>
    <row r="36" spans="1:14" x14ac:dyDescent="0.2">
      <c r="C36" s="2"/>
      <c r="E36" s="2"/>
      <c r="G36" s="2"/>
      <c r="I36" s="2"/>
      <c r="L36" s="2"/>
    </row>
    <row r="37" spans="1:14" x14ac:dyDescent="0.2"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</row>
    <row r="47" spans="1:14" x14ac:dyDescent="0.2">
      <c r="A47" s="14"/>
      <c r="B47" s="14"/>
      <c r="C47" s="14"/>
      <c r="D47" s="14"/>
    </row>
    <row r="48" spans="1:14" x14ac:dyDescent="0.2"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</row>
    <row r="49" spans="3:14" x14ac:dyDescent="0.2">
      <c r="C49" s="2"/>
      <c r="E49" s="2"/>
      <c r="G49" s="2"/>
      <c r="I49" s="2"/>
      <c r="L49" s="2"/>
    </row>
    <row r="50" spans="3:14" x14ac:dyDescent="0.2">
      <c r="C50" s="21"/>
      <c r="D50" s="27"/>
      <c r="E50" s="27"/>
      <c r="F50" s="21"/>
      <c r="G50" s="21"/>
      <c r="H50" s="27"/>
      <c r="I50" s="27"/>
      <c r="J50" s="21"/>
      <c r="K50" s="21"/>
      <c r="L50" s="27"/>
      <c r="M50" s="27"/>
      <c r="N50" s="21"/>
    </row>
    <row r="51" spans="3:14" x14ac:dyDescent="0.2">
      <c r="C51" s="21"/>
      <c r="D51" s="27"/>
      <c r="E51" s="63"/>
      <c r="G51" s="21"/>
      <c r="H51" s="27"/>
      <c r="I51" s="63"/>
      <c r="K51" s="21"/>
      <c r="L51" s="27"/>
      <c r="M51" s="64"/>
    </row>
    <row r="52" spans="3:14" x14ac:dyDescent="0.2">
      <c r="C52" s="21"/>
      <c r="G52" s="21"/>
      <c r="K52" s="21"/>
      <c r="L52" s="21"/>
      <c r="M52" s="21"/>
    </row>
    <row r="53" spans="3:14" x14ac:dyDescent="0.2">
      <c r="C53" s="21"/>
      <c r="G53" s="21"/>
      <c r="K53" s="21"/>
      <c r="L53" s="21"/>
      <c r="M53" s="21"/>
    </row>
    <row r="54" spans="3:14" x14ac:dyDescent="0.2">
      <c r="C54" s="21"/>
      <c r="G54" s="21"/>
      <c r="K54" s="21"/>
      <c r="L54" s="21"/>
    </row>
    <row r="55" spans="3:14" x14ac:dyDescent="0.2">
      <c r="C55" s="21"/>
      <c r="G55" s="21"/>
      <c r="K55" s="21"/>
    </row>
  </sheetData>
  <mergeCells count="12">
    <mergeCell ref="C35:F35"/>
    <mergeCell ref="G35:J35"/>
    <mergeCell ref="K35:N35"/>
    <mergeCell ref="C48:F48"/>
    <mergeCell ref="G48:J48"/>
    <mergeCell ref="K48:N48"/>
    <mergeCell ref="C8:F8"/>
    <mergeCell ref="G8:J8"/>
    <mergeCell ref="K8:N8"/>
    <mergeCell ref="C22:F22"/>
    <mergeCell ref="G22:J22"/>
    <mergeCell ref="K22:N22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69AFC-E450-9947-95BA-0EAD5E7E5320}">
  <dimension ref="B1:H23"/>
  <sheetViews>
    <sheetView zoomScale="150" workbookViewId="0">
      <selection activeCell="B1" sqref="B1:H6"/>
    </sheetView>
  </sheetViews>
  <sheetFormatPr baseColWidth="10" defaultRowHeight="16" x14ac:dyDescent="0.2"/>
  <cols>
    <col min="2" max="2" width="14.5" customWidth="1"/>
    <col min="3" max="3" width="14" customWidth="1"/>
    <col min="4" max="4" width="13.6640625" customWidth="1"/>
    <col min="5" max="5" width="13.33203125" customWidth="1"/>
  </cols>
  <sheetData>
    <row r="1" spans="2:8" x14ac:dyDescent="0.2">
      <c r="B1" t="s">
        <v>68</v>
      </c>
      <c r="C1" t="s">
        <v>106</v>
      </c>
    </row>
    <row r="2" spans="2:8" x14ac:dyDescent="0.2">
      <c r="B2" s="4" t="s">
        <v>27</v>
      </c>
      <c r="C2" s="5">
        <v>22</v>
      </c>
      <c r="D2" s="5">
        <v>23</v>
      </c>
      <c r="E2" s="5">
        <v>24</v>
      </c>
      <c r="F2" s="5">
        <v>25</v>
      </c>
      <c r="G2" s="5">
        <v>26</v>
      </c>
      <c r="H2" s="6">
        <v>27</v>
      </c>
    </row>
    <row r="3" spans="2:8" x14ac:dyDescent="0.2">
      <c r="B3" s="10" t="s">
        <v>64</v>
      </c>
      <c r="C3" s="21">
        <v>0.30944899999999997</v>
      </c>
      <c r="D3" s="21">
        <v>0.580986</v>
      </c>
      <c r="E3" s="21">
        <v>1.1536900000000001</v>
      </c>
      <c r="F3" s="21">
        <v>1.981185</v>
      </c>
      <c r="G3" s="21">
        <v>4.0958680000000003</v>
      </c>
      <c r="H3" s="50">
        <v>6.77</v>
      </c>
    </row>
    <row r="4" spans="2:8" x14ac:dyDescent="0.2">
      <c r="B4" s="10" t="s">
        <v>65</v>
      </c>
      <c r="C4" s="21">
        <v>0.40713100000000002</v>
      </c>
      <c r="D4" s="21">
        <v>0.665489</v>
      </c>
      <c r="E4" s="21">
        <v>0.70998700000000003</v>
      </c>
      <c r="F4" s="21">
        <v>1.2236100000000001</v>
      </c>
      <c r="G4" s="21">
        <v>1.3767259999999999</v>
      </c>
      <c r="H4" s="50">
        <v>2.48</v>
      </c>
    </row>
    <row r="5" spans="2:8" x14ac:dyDescent="0.2">
      <c r="B5" s="10" t="s">
        <v>66</v>
      </c>
      <c r="C5" s="21">
        <v>49.74</v>
      </c>
      <c r="D5" s="21">
        <v>54.15</v>
      </c>
      <c r="E5" s="21">
        <v>53.96</v>
      </c>
      <c r="F5" s="21">
        <v>58.43</v>
      </c>
      <c r="G5" s="21">
        <v>57.96</v>
      </c>
      <c r="H5" s="50">
        <v>62.11</v>
      </c>
    </row>
    <row r="6" spans="2:8" x14ac:dyDescent="0.2">
      <c r="B6" s="7" t="s">
        <v>67</v>
      </c>
      <c r="C6" s="25">
        <v>2.8056999999999999E-2</v>
      </c>
      <c r="D6" s="25">
        <v>3.0529000000000001E-2</v>
      </c>
      <c r="E6" s="25">
        <v>3.0529000000000001E-2</v>
      </c>
      <c r="F6" s="25">
        <v>3.3001000000000003E-2</v>
      </c>
      <c r="G6" s="25">
        <v>3.3001000000000003E-2</v>
      </c>
      <c r="H6" s="8">
        <v>0.04</v>
      </c>
    </row>
    <row r="9" spans="2:8" x14ac:dyDescent="0.2">
      <c r="B9" t="s">
        <v>68</v>
      </c>
      <c r="C9" t="s">
        <v>107</v>
      </c>
    </row>
    <row r="10" spans="2:8" x14ac:dyDescent="0.2">
      <c r="B10" s="4" t="s">
        <v>27</v>
      </c>
      <c r="C10" s="5">
        <v>22</v>
      </c>
      <c r="D10" s="5">
        <v>23</v>
      </c>
      <c r="E10" s="5">
        <v>24</v>
      </c>
      <c r="F10" s="5">
        <v>25</v>
      </c>
      <c r="G10" s="6">
        <v>26</v>
      </c>
    </row>
    <row r="11" spans="2:8" x14ac:dyDescent="0.2">
      <c r="B11" s="10" t="s">
        <v>64</v>
      </c>
      <c r="C11" s="21">
        <v>0.64</v>
      </c>
      <c r="D11" s="21">
        <v>1.1399999999999999</v>
      </c>
      <c r="E11" s="21">
        <v>2.27</v>
      </c>
      <c r="F11" s="21">
        <v>3.87</v>
      </c>
      <c r="G11" s="24">
        <v>7.97</v>
      </c>
    </row>
    <row r="12" spans="2:8" x14ac:dyDescent="0.2">
      <c r="B12" s="10" t="s">
        <v>65</v>
      </c>
      <c r="C12" s="21">
        <v>0.43</v>
      </c>
      <c r="D12" s="21">
        <v>0.71</v>
      </c>
      <c r="E12" s="21">
        <v>0.75</v>
      </c>
      <c r="F12" s="21">
        <v>1.29</v>
      </c>
      <c r="G12" s="24">
        <v>1.43</v>
      </c>
    </row>
    <row r="13" spans="2:8" x14ac:dyDescent="0.2">
      <c r="B13" s="10" t="s">
        <v>66</v>
      </c>
      <c r="C13" s="21">
        <v>49.97</v>
      </c>
      <c r="D13" s="21">
        <v>54.13</v>
      </c>
      <c r="E13" s="21">
        <v>54.28</v>
      </c>
      <c r="F13" s="21">
        <v>58.35</v>
      </c>
      <c r="G13" s="24">
        <v>58.35</v>
      </c>
    </row>
    <row r="14" spans="2:8" x14ac:dyDescent="0.2">
      <c r="B14" s="7" t="s">
        <v>67</v>
      </c>
      <c r="C14" s="25">
        <v>2.8056999999999999E-2</v>
      </c>
      <c r="D14" s="25">
        <v>3.0529000000000001E-2</v>
      </c>
      <c r="E14" s="25">
        <v>3.0529000000000001E-2</v>
      </c>
      <c r="F14" s="25">
        <v>3.3001000000000003E-2</v>
      </c>
      <c r="G14" s="26">
        <v>3.3001000000000003E-2</v>
      </c>
    </row>
    <row r="18" spans="2:7" x14ac:dyDescent="0.2">
      <c r="B18" t="s">
        <v>105</v>
      </c>
      <c r="C18" t="s">
        <v>108</v>
      </c>
    </row>
    <row r="19" spans="2:7" x14ac:dyDescent="0.2">
      <c r="B19" s="4" t="s">
        <v>27</v>
      </c>
      <c r="C19" s="5">
        <v>22</v>
      </c>
      <c r="D19" s="5">
        <v>23</v>
      </c>
      <c r="E19" s="5">
        <v>24</v>
      </c>
      <c r="F19" s="5">
        <v>25</v>
      </c>
      <c r="G19" s="6" t="s">
        <v>69</v>
      </c>
    </row>
    <row r="20" spans="2:7" x14ac:dyDescent="0.2">
      <c r="B20" s="10" t="s">
        <v>64</v>
      </c>
      <c r="C20" s="21">
        <v>1.4759340000000001</v>
      </c>
      <c r="D20" s="21">
        <v>3.0387550000000001</v>
      </c>
      <c r="E20" s="21">
        <v>6.3517390000000002</v>
      </c>
      <c r="F20" s="21">
        <v>13.625584999999999</v>
      </c>
      <c r="G20" s="24">
        <f>F20*2</f>
        <v>27.251169999999998</v>
      </c>
    </row>
    <row r="21" spans="2:7" x14ac:dyDescent="0.2">
      <c r="B21" s="10" t="s">
        <v>65</v>
      </c>
      <c r="C21" s="21">
        <v>3.6002700000000001</v>
      </c>
      <c r="D21" s="21">
        <v>8.1892750000000003</v>
      </c>
      <c r="E21" s="21">
        <v>18.139723</v>
      </c>
      <c r="F21" s="21">
        <v>44.545726999999999</v>
      </c>
      <c r="G21" s="24">
        <f t="shared" ref="G21:G23" si="0">F21*2</f>
        <v>89.091453999999999</v>
      </c>
    </row>
    <row r="22" spans="2:7" x14ac:dyDescent="0.2">
      <c r="B22" s="10" t="s">
        <v>66</v>
      </c>
      <c r="C22" s="21">
        <v>0.71473600000000004</v>
      </c>
      <c r="D22" s="21">
        <v>0.901111</v>
      </c>
      <c r="E22" s="21">
        <v>1.3074030000000001</v>
      </c>
      <c r="F22" s="21">
        <v>1.6227499999999999</v>
      </c>
      <c r="G22" s="24">
        <f t="shared" si="0"/>
        <v>3.2454999999999998</v>
      </c>
    </row>
    <row r="23" spans="2:7" x14ac:dyDescent="0.2">
      <c r="B23" s="7" t="s">
        <v>67</v>
      </c>
      <c r="C23" s="25">
        <v>1.225517</v>
      </c>
      <c r="D23" s="25">
        <v>1.3273010000000001</v>
      </c>
      <c r="E23" s="25">
        <v>1.4331130000000001</v>
      </c>
      <c r="F23" s="25">
        <v>1.542953</v>
      </c>
      <c r="G23" s="24">
        <f t="shared" si="0"/>
        <v>3.085906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A5C5-CBB8-F941-9958-E8BE692DEF95}">
  <dimension ref="A1:O33"/>
  <sheetViews>
    <sheetView zoomScale="132" zoomScaleNormal="143" workbookViewId="0">
      <selection activeCell="P21" sqref="P21"/>
    </sheetView>
  </sheetViews>
  <sheetFormatPr baseColWidth="10" defaultRowHeight="16" x14ac:dyDescent="0.2"/>
  <cols>
    <col min="1" max="1" width="12.1640625" customWidth="1"/>
    <col min="2" max="2" width="13.6640625" customWidth="1"/>
    <col min="3" max="3" width="9.83203125" customWidth="1"/>
    <col min="4" max="4" width="8.5" customWidth="1"/>
    <col min="5" max="5" width="7.5" customWidth="1"/>
    <col min="6" max="6" width="5.6640625" customWidth="1"/>
    <col min="7" max="7" width="8.5" customWidth="1"/>
    <col min="8" max="8" width="8.6640625" customWidth="1"/>
    <col min="9" max="9" width="7" customWidth="1"/>
    <col min="10" max="11" width="12.6640625" customWidth="1"/>
    <col min="12" max="12" width="14.83203125" customWidth="1"/>
    <col min="13" max="13" width="13.33203125" customWidth="1"/>
    <col min="14" max="14" width="12" customWidth="1"/>
    <col min="15" max="15" width="13" customWidth="1"/>
  </cols>
  <sheetData>
    <row r="1" spans="1:15" ht="16" customHeight="1" x14ac:dyDescent="0.2">
      <c r="B1" s="16" t="s">
        <v>62</v>
      </c>
      <c r="C1" s="17"/>
      <c r="D1" s="17"/>
      <c r="E1" s="17"/>
      <c r="F1" s="17"/>
      <c r="I1" t="s">
        <v>80</v>
      </c>
    </row>
    <row r="2" spans="1:15" x14ac:dyDescent="0.2">
      <c r="B2" t="s">
        <v>0</v>
      </c>
      <c r="C2" t="s">
        <v>57</v>
      </c>
      <c r="D2" t="s">
        <v>58</v>
      </c>
      <c r="E2" t="s">
        <v>59</v>
      </c>
      <c r="F2" t="s">
        <v>61</v>
      </c>
      <c r="G2" t="s">
        <v>79</v>
      </c>
      <c r="H2" t="s">
        <v>60</v>
      </c>
      <c r="I2" s="14" t="s">
        <v>56</v>
      </c>
      <c r="J2" t="s">
        <v>73</v>
      </c>
      <c r="K2" s="34" t="s">
        <v>74</v>
      </c>
      <c r="L2" t="s">
        <v>75</v>
      </c>
      <c r="M2" s="34" t="s">
        <v>76</v>
      </c>
      <c r="N2" t="s">
        <v>77</v>
      </c>
      <c r="O2" s="34" t="s">
        <v>78</v>
      </c>
    </row>
    <row r="3" spans="1:15" x14ac:dyDescent="0.2">
      <c r="C3">
        <v>32</v>
      </c>
      <c r="D3" s="32">
        <v>5</v>
      </c>
      <c r="E3">
        <v>10</v>
      </c>
      <c r="F3">
        <v>8</v>
      </c>
      <c r="G3">
        <v>4</v>
      </c>
      <c r="H3">
        <v>3</v>
      </c>
      <c r="I3">
        <v>18</v>
      </c>
      <c r="J3" s="21">
        <v>0.27</v>
      </c>
      <c r="K3" s="35">
        <v>0.18</v>
      </c>
      <c r="L3" s="21">
        <v>57.41</v>
      </c>
      <c r="M3" s="35">
        <v>1.1399999999999999</v>
      </c>
      <c r="N3" s="21">
        <v>80.195800000000006</v>
      </c>
      <c r="O3" s="35">
        <v>0.19980000000000001</v>
      </c>
    </row>
    <row r="4" spans="1:15" x14ac:dyDescent="0.2">
      <c r="C4">
        <v>32</v>
      </c>
      <c r="D4" s="32">
        <v>6</v>
      </c>
      <c r="E4">
        <v>10</v>
      </c>
      <c r="F4">
        <v>8</v>
      </c>
      <c r="G4">
        <v>4</v>
      </c>
      <c r="H4">
        <v>3</v>
      </c>
      <c r="I4">
        <v>19</v>
      </c>
      <c r="J4" s="21">
        <v>0.39</v>
      </c>
      <c r="K4" s="35">
        <v>0.26</v>
      </c>
      <c r="L4" s="21">
        <v>67.67</v>
      </c>
      <c r="M4" s="35">
        <v>1.3</v>
      </c>
      <c r="N4" s="21">
        <v>86.451700000000002</v>
      </c>
      <c r="O4" s="35">
        <v>0.18390000000000001</v>
      </c>
    </row>
    <row r="5" spans="1:15" x14ac:dyDescent="0.2">
      <c r="C5">
        <v>32</v>
      </c>
      <c r="D5" s="32">
        <v>7</v>
      </c>
      <c r="E5">
        <v>10</v>
      </c>
      <c r="F5">
        <v>8</v>
      </c>
      <c r="G5">
        <v>4</v>
      </c>
      <c r="H5">
        <v>3</v>
      </c>
      <c r="I5">
        <v>20</v>
      </c>
      <c r="J5" s="21">
        <v>0.63</v>
      </c>
      <c r="K5" s="35">
        <v>0.46</v>
      </c>
      <c r="L5" s="21">
        <v>99.59</v>
      </c>
      <c r="M5" s="35">
        <v>1.1200000000000001</v>
      </c>
      <c r="N5" s="21">
        <v>99.7196</v>
      </c>
      <c r="O5" s="35">
        <v>0.1835</v>
      </c>
    </row>
    <row r="6" spans="1:15" x14ac:dyDescent="0.2">
      <c r="A6" s="15"/>
      <c r="C6">
        <v>32</v>
      </c>
      <c r="D6" s="32">
        <v>8</v>
      </c>
      <c r="E6">
        <v>10</v>
      </c>
      <c r="F6">
        <v>8</v>
      </c>
      <c r="G6">
        <v>4</v>
      </c>
      <c r="H6">
        <v>3</v>
      </c>
      <c r="I6">
        <f>D6+E6+H6</f>
        <v>21</v>
      </c>
      <c r="J6" s="21">
        <v>1.05</v>
      </c>
      <c r="K6" s="35">
        <v>0.8</v>
      </c>
      <c r="L6" s="21">
        <v>119.33</v>
      </c>
      <c r="M6" s="35">
        <v>1.48</v>
      </c>
      <c r="N6" s="21">
        <v>109.7581</v>
      </c>
      <c r="O6" s="35">
        <v>0.19769999999999999</v>
      </c>
    </row>
    <row r="7" spans="1:15" x14ac:dyDescent="0.2">
      <c r="C7">
        <v>32</v>
      </c>
      <c r="D7" s="32">
        <v>9</v>
      </c>
      <c r="E7">
        <v>10</v>
      </c>
      <c r="F7">
        <v>8</v>
      </c>
      <c r="G7">
        <v>4</v>
      </c>
      <c r="H7">
        <v>3</v>
      </c>
      <c r="I7">
        <f t="shared" ref="I7:I8" si="0">D7+E7+H7</f>
        <v>22</v>
      </c>
      <c r="J7" s="21">
        <v>2.0299999999999998</v>
      </c>
      <c r="K7" s="35">
        <v>1.62</v>
      </c>
      <c r="L7" s="21">
        <v>198.19</v>
      </c>
      <c r="M7" s="35">
        <v>1.83</v>
      </c>
      <c r="N7" s="21">
        <v>126.8573</v>
      </c>
      <c r="O7" s="35">
        <v>0.23230000000000001</v>
      </c>
    </row>
    <row r="8" spans="1:15" x14ac:dyDescent="0.2">
      <c r="C8">
        <v>32</v>
      </c>
      <c r="D8" s="32">
        <v>10</v>
      </c>
      <c r="E8" s="33">
        <v>10</v>
      </c>
      <c r="F8">
        <v>8</v>
      </c>
      <c r="G8">
        <v>4</v>
      </c>
      <c r="H8">
        <v>3</v>
      </c>
      <c r="I8">
        <f t="shared" si="0"/>
        <v>23</v>
      </c>
      <c r="J8" s="21">
        <v>3.62</v>
      </c>
      <c r="K8" s="36">
        <v>2.99</v>
      </c>
      <c r="L8" s="21">
        <v>227.88</v>
      </c>
      <c r="M8" s="36">
        <v>1.63</v>
      </c>
      <c r="N8" s="21">
        <v>140.66900000000001</v>
      </c>
      <c r="O8" s="36">
        <v>0.18</v>
      </c>
    </row>
    <row r="10" spans="1:15" x14ac:dyDescent="0.2">
      <c r="C10">
        <v>32</v>
      </c>
      <c r="D10">
        <v>8</v>
      </c>
      <c r="E10" s="32">
        <v>8</v>
      </c>
      <c r="F10">
        <v>8</v>
      </c>
      <c r="G10">
        <v>4</v>
      </c>
      <c r="H10">
        <v>3</v>
      </c>
      <c r="I10">
        <f>D10+E10+H10</f>
        <v>19</v>
      </c>
      <c r="J10" s="21">
        <v>0.36</v>
      </c>
      <c r="K10" s="37">
        <v>0.25</v>
      </c>
      <c r="L10" s="21">
        <v>63.03</v>
      </c>
      <c r="M10" s="37">
        <v>0.74</v>
      </c>
      <c r="N10" s="21">
        <v>82.432000000000002</v>
      </c>
      <c r="O10" s="37">
        <v>6.1100000000000002E-2</v>
      </c>
    </row>
    <row r="11" spans="1:15" x14ac:dyDescent="0.2">
      <c r="C11">
        <v>32</v>
      </c>
      <c r="D11">
        <v>8</v>
      </c>
      <c r="E11" s="32">
        <v>9</v>
      </c>
      <c r="F11">
        <v>8</v>
      </c>
      <c r="G11">
        <v>4</v>
      </c>
      <c r="H11">
        <v>3</v>
      </c>
      <c r="I11">
        <f t="shared" ref="I11" si="1">D11+E11+H11</f>
        <v>20</v>
      </c>
      <c r="J11" s="21">
        <v>0.62</v>
      </c>
      <c r="K11" s="35">
        <v>0.45</v>
      </c>
      <c r="L11" s="21">
        <v>98.72</v>
      </c>
      <c r="M11" s="35">
        <v>1.21</v>
      </c>
      <c r="N11" s="21">
        <v>96.173000000000002</v>
      </c>
      <c r="O11" s="35">
        <v>0.12909999999999999</v>
      </c>
    </row>
    <row r="12" spans="1:15" x14ac:dyDescent="0.2">
      <c r="C12">
        <v>32</v>
      </c>
      <c r="D12">
        <v>8</v>
      </c>
      <c r="E12" s="32">
        <v>10</v>
      </c>
      <c r="F12">
        <v>8</v>
      </c>
      <c r="G12">
        <v>4</v>
      </c>
      <c r="H12">
        <v>3</v>
      </c>
      <c r="I12">
        <f t="shared" ref="I12:I14" si="2">D12+E12+H12</f>
        <v>21</v>
      </c>
      <c r="J12" s="21">
        <v>1.06</v>
      </c>
      <c r="K12" s="35">
        <v>0.81</v>
      </c>
      <c r="L12" s="21">
        <v>116.41</v>
      </c>
      <c r="M12" s="35">
        <v>1.21</v>
      </c>
      <c r="N12" s="21">
        <v>109.76009999999999</v>
      </c>
      <c r="O12" s="35">
        <v>0.1978</v>
      </c>
    </row>
    <row r="13" spans="1:15" x14ac:dyDescent="0.2">
      <c r="A13" s="14"/>
      <c r="C13">
        <v>32</v>
      </c>
      <c r="D13">
        <v>8</v>
      </c>
      <c r="E13" s="32">
        <v>11</v>
      </c>
      <c r="F13">
        <v>8</v>
      </c>
      <c r="G13">
        <v>4</v>
      </c>
      <c r="H13">
        <v>3</v>
      </c>
      <c r="I13">
        <f t="shared" si="2"/>
        <v>22</v>
      </c>
      <c r="J13" s="21">
        <v>1.9</v>
      </c>
      <c r="K13" s="35">
        <v>1.52</v>
      </c>
      <c r="L13" s="21">
        <v>188.07</v>
      </c>
      <c r="M13" s="35">
        <v>1.62</v>
      </c>
      <c r="N13" s="21">
        <v>128.07579999999999</v>
      </c>
      <c r="O13" s="35">
        <v>0.33300000000000002</v>
      </c>
    </row>
    <row r="14" spans="1:15" x14ac:dyDescent="0.2">
      <c r="C14">
        <v>32</v>
      </c>
      <c r="D14">
        <v>8</v>
      </c>
      <c r="E14" s="32">
        <v>12</v>
      </c>
      <c r="F14">
        <v>8</v>
      </c>
      <c r="G14">
        <v>4</v>
      </c>
      <c r="H14">
        <v>3</v>
      </c>
      <c r="I14">
        <f t="shared" si="2"/>
        <v>23</v>
      </c>
      <c r="J14" s="21">
        <v>3.55</v>
      </c>
      <c r="K14" s="35">
        <v>2.92</v>
      </c>
      <c r="L14" s="21">
        <v>226.48</v>
      </c>
      <c r="M14" s="35">
        <v>2.39</v>
      </c>
      <c r="N14" s="21">
        <v>145.24119999999999</v>
      </c>
      <c r="O14" s="35">
        <v>0.60199999999999998</v>
      </c>
    </row>
    <row r="15" spans="1:15" x14ac:dyDescent="0.2">
      <c r="C15">
        <v>32</v>
      </c>
      <c r="D15">
        <v>8</v>
      </c>
      <c r="E15" s="32">
        <v>13</v>
      </c>
      <c r="F15">
        <v>8</v>
      </c>
      <c r="G15">
        <v>4</v>
      </c>
      <c r="H15">
        <v>3</v>
      </c>
      <c r="I15">
        <f t="shared" ref="I15" si="3">D15+E15+H15</f>
        <v>24</v>
      </c>
      <c r="J15" s="21">
        <v>7.07</v>
      </c>
      <c r="K15" s="36">
        <v>5.91</v>
      </c>
      <c r="L15" s="21">
        <v>361.1</v>
      </c>
      <c r="M15" s="36">
        <v>4.08</v>
      </c>
      <c r="N15" s="21">
        <v>178.40880000000001</v>
      </c>
      <c r="O15" s="36">
        <v>1.1383000000000001</v>
      </c>
    </row>
    <row r="17" spans="2:15" x14ac:dyDescent="0.2">
      <c r="C17">
        <v>32</v>
      </c>
      <c r="D17">
        <v>8</v>
      </c>
      <c r="E17" s="33">
        <v>10</v>
      </c>
      <c r="F17" s="32">
        <v>8</v>
      </c>
      <c r="G17">
        <v>4</v>
      </c>
      <c r="H17">
        <v>3</v>
      </c>
      <c r="I17">
        <f>D17+E17+H17</f>
        <v>21</v>
      </c>
      <c r="J17" s="21">
        <v>1.1000000000000001</v>
      </c>
      <c r="K17" s="37">
        <v>0.84</v>
      </c>
      <c r="L17" s="21">
        <v>120.8</v>
      </c>
      <c r="M17" s="37">
        <v>1.79</v>
      </c>
      <c r="N17" s="21">
        <v>109.76049999999999</v>
      </c>
      <c r="O17" s="37">
        <v>0.1976</v>
      </c>
    </row>
    <row r="18" spans="2:15" x14ac:dyDescent="0.2">
      <c r="C18">
        <v>32</v>
      </c>
      <c r="D18">
        <v>8</v>
      </c>
      <c r="E18" s="33">
        <v>10</v>
      </c>
      <c r="F18" s="32">
        <v>7</v>
      </c>
      <c r="G18">
        <v>5</v>
      </c>
      <c r="H18">
        <v>4</v>
      </c>
      <c r="I18">
        <f>D18+E18+H18</f>
        <v>22</v>
      </c>
      <c r="J18" s="21">
        <v>1.43</v>
      </c>
      <c r="K18" s="35">
        <v>1.08</v>
      </c>
      <c r="L18" s="21">
        <v>165.19</v>
      </c>
      <c r="M18" s="35">
        <v>1.26</v>
      </c>
      <c r="N18" s="21">
        <v>115.37350000000001</v>
      </c>
      <c r="O18" s="35">
        <v>0.1981</v>
      </c>
    </row>
    <row r="19" spans="2:15" x14ac:dyDescent="0.2">
      <c r="B19" s="9"/>
      <c r="C19">
        <v>32</v>
      </c>
      <c r="D19">
        <v>8</v>
      </c>
      <c r="E19" s="33">
        <v>10</v>
      </c>
      <c r="F19" s="32">
        <v>6</v>
      </c>
      <c r="G19">
        <v>6</v>
      </c>
      <c r="H19">
        <v>4</v>
      </c>
      <c r="I19">
        <f>D19+E19+H19</f>
        <v>22</v>
      </c>
      <c r="J19" s="21">
        <v>1.6</v>
      </c>
      <c r="K19" s="35">
        <v>1.23</v>
      </c>
      <c r="L19" s="21">
        <v>185.06</v>
      </c>
      <c r="M19" s="35">
        <v>1.27</v>
      </c>
      <c r="N19" s="21">
        <v>118.9875</v>
      </c>
      <c r="O19" s="35">
        <v>0.19850000000000001</v>
      </c>
    </row>
    <row r="20" spans="2:15" x14ac:dyDescent="0.2">
      <c r="C20">
        <v>32</v>
      </c>
      <c r="D20">
        <v>8</v>
      </c>
      <c r="E20" s="33">
        <v>10</v>
      </c>
      <c r="F20" s="32">
        <v>5</v>
      </c>
      <c r="G20">
        <v>7</v>
      </c>
      <c r="H20">
        <v>4</v>
      </c>
      <c r="I20">
        <f>D20+E20+H20</f>
        <v>22</v>
      </c>
      <c r="J20" s="21">
        <v>1.7</v>
      </c>
      <c r="K20" s="35">
        <v>1.32</v>
      </c>
      <c r="L20" s="21">
        <v>190.66</v>
      </c>
      <c r="M20" s="35">
        <v>1.22</v>
      </c>
      <c r="N20" s="21">
        <v>120.60769999999999</v>
      </c>
      <c r="O20" s="35">
        <v>0.19889999999999999</v>
      </c>
    </row>
    <row r="21" spans="2:15" x14ac:dyDescent="0.2">
      <c r="C21">
        <v>32</v>
      </c>
      <c r="D21">
        <v>8</v>
      </c>
      <c r="E21" s="33">
        <v>10</v>
      </c>
      <c r="F21" s="32">
        <v>4</v>
      </c>
      <c r="G21">
        <v>8</v>
      </c>
      <c r="H21">
        <v>4</v>
      </c>
      <c r="I21">
        <v>22</v>
      </c>
      <c r="J21" s="21">
        <v>1.87</v>
      </c>
      <c r="K21" s="36">
        <v>1.47</v>
      </c>
      <c r="L21" s="21">
        <v>192.5</v>
      </c>
      <c r="M21" s="36">
        <v>1.32</v>
      </c>
      <c r="N21" s="21">
        <v>122.2556</v>
      </c>
      <c r="O21" s="36">
        <v>0.1993</v>
      </c>
    </row>
    <row r="22" spans="2:15" x14ac:dyDescent="0.2">
      <c r="E22" s="33"/>
      <c r="F22" s="32"/>
    </row>
    <row r="24" spans="2:15" x14ac:dyDescent="0.2">
      <c r="C24">
        <v>64</v>
      </c>
      <c r="D24">
        <v>8</v>
      </c>
      <c r="E24" s="33">
        <v>10</v>
      </c>
      <c r="F24" s="32">
        <v>9</v>
      </c>
      <c r="G24">
        <v>8</v>
      </c>
      <c r="H24">
        <v>4</v>
      </c>
      <c r="I24">
        <f t="shared" ref="I24" si="4">D24+E24+H24</f>
        <v>22</v>
      </c>
      <c r="J24" s="21">
        <v>1.31</v>
      </c>
      <c r="K24" s="37">
        <v>0.92</v>
      </c>
      <c r="L24" s="21">
        <v>155.16999999999999</v>
      </c>
      <c r="M24" s="37">
        <v>1.21</v>
      </c>
      <c r="N24" s="21">
        <v>131.46440000000001</v>
      </c>
      <c r="O24" s="37">
        <v>0.17419999999999999</v>
      </c>
    </row>
    <row r="25" spans="2:15" x14ac:dyDescent="0.2">
      <c r="C25">
        <v>64</v>
      </c>
      <c r="D25">
        <v>8</v>
      </c>
      <c r="E25" s="33">
        <v>10</v>
      </c>
      <c r="F25" s="32">
        <v>8</v>
      </c>
      <c r="G25">
        <v>8</v>
      </c>
      <c r="H25">
        <v>4</v>
      </c>
      <c r="I25">
        <f t="shared" ref="I25" si="5">D25+E25+H25</f>
        <v>22</v>
      </c>
      <c r="J25" s="21">
        <v>1.29</v>
      </c>
      <c r="K25" s="35">
        <v>0.9</v>
      </c>
      <c r="L25" s="21">
        <v>158.12</v>
      </c>
      <c r="M25" s="35">
        <v>1.46</v>
      </c>
      <c r="N25" s="21">
        <v>131.18799999999999</v>
      </c>
      <c r="O25" s="35">
        <v>0.17419999999999999</v>
      </c>
    </row>
    <row r="26" spans="2:15" x14ac:dyDescent="0.2">
      <c r="C26">
        <v>64</v>
      </c>
      <c r="D26">
        <v>8</v>
      </c>
      <c r="E26" s="33">
        <v>10</v>
      </c>
      <c r="F26" s="32">
        <v>7</v>
      </c>
      <c r="G26">
        <v>10</v>
      </c>
      <c r="H26">
        <v>5</v>
      </c>
      <c r="I26">
        <f t="shared" ref="I26:I28" si="6">D26+E26+H26</f>
        <v>23</v>
      </c>
      <c r="J26" s="21">
        <v>1.78</v>
      </c>
      <c r="K26" s="35">
        <v>1.23</v>
      </c>
      <c r="L26" s="21">
        <v>216.77</v>
      </c>
      <c r="M26" s="35">
        <v>1.27</v>
      </c>
      <c r="N26" s="21">
        <v>138.1712</v>
      </c>
      <c r="O26" s="35">
        <v>0.1749</v>
      </c>
    </row>
    <row r="27" spans="2:15" x14ac:dyDescent="0.2">
      <c r="C27">
        <v>64</v>
      </c>
      <c r="D27">
        <v>8</v>
      </c>
      <c r="E27" s="33">
        <v>10</v>
      </c>
      <c r="F27" s="32">
        <v>6</v>
      </c>
      <c r="G27">
        <v>11</v>
      </c>
      <c r="H27">
        <v>5</v>
      </c>
      <c r="I27">
        <f t="shared" si="6"/>
        <v>23</v>
      </c>
      <c r="J27" s="21">
        <v>1.83</v>
      </c>
      <c r="K27" s="35">
        <v>1.26</v>
      </c>
      <c r="L27" s="21">
        <v>217.21</v>
      </c>
      <c r="M27" s="35">
        <v>1.05</v>
      </c>
      <c r="N27" s="21">
        <v>139.15700000000001</v>
      </c>
      <c r="O27" s="35">
        <v>0.17530000000000001</v>
      </c>
    </row>
    <row r="28" spans="2:15" x14ac:dyDescent="0.2">
      <c r="C28">
        <v>64</v>
      </c>
      <c r="D28">
        <v>8</v>
      </c>
      <c r="E28" s="33">
        <v>10</v>
      </c>
      <c r="F28" s="32">
        <v>5</v>
      </c>
      <c r="G28">
        <v>13</v>
      </c>
      <c r="H28">
        <v>5</v>
      </c>
      <c r="I28">
        <f t="shared" si="6"/>
        <v>23</v>
      </c>
      <c r="J28" s="21">
        <v>1.9</v>
      </c>
      <c r="K28" s="35">
        <v>1.35</v>
      </c>
      <c r="L28" s="21">
        <v>216.47</v>
      </c>
      <c r="M28" s="35">
        <v>1.23</v>
      </c>
      <c r="N28" s="21">
        <v>141.0291</v>
      </c>
      <c r="O28" s="35">
        <v>0.17599999999999999</v>
      </c>
    </row>
    <row r="29" spans="2:15" x14ac:dyDescent="0.2">
      <c r="C29">
        <v>64</v>
      </c>
      <c r="D29">
        <v>8</v>
      </c>
      <c r="E29" s="33">
        <v>10</v>
      </c>
      <c r="F29" s="32">
        <v>4</v>
      </c>
      <c r="G29">
        <v>16</v>
      </c>
      <c r="H29">
        <v>5</v>
      </c>
      <c r="I29">
        <f t="shared" ref="I29" si="7">D29+E29+H29</f>
        <v>23</v>
      </c>
      <c r="J29" s="21">
        <v>2.31</v>
      </c>
      <c r="K29" s="36">
        <v>1.64</v>
      </c>
      <c r="L29" s="21">
        <v>241.2</v>
      </c>
      <c r="M29" s="36">
        <v>1.49</v>
      </c>
      <c r="N29" s="21">
        <v>147.5847</v>
      </c>
      <c r="O29" s="36">
        <v>0.17710000000000001</v>
      </c>
    </row>
    <row r="31" spans="2:15" x14ac:dyDescent="0.2">
      <c r="C31" s="2"/>
      <c r="E31" s="2"/>
      <c r="F31" s="2"/>
      <c r="H31" s="2"/>
      <c r="J31" s="2"/>
      <c r="M31" s="2"/>
    </row>
    <row r="32" spans="2:15" x14ac:dyDescent="0.2">
      <c r="C32" s="2"/>
      <c r="E32" s="23"/>
      <c r="F32" s="23"/>
      <c r="H32" s="2"/>
      <c r="J32" s="23"/>
      <c r="M32" s="2"/>
      <c r="N32" s="21"/>
    </row>
    <row r="33" spans="3:14" x14ac:dyDescent="0.2">
      <c r="C33" s="2"/>
      <c r="E33" s="23"/>
      <c r="F33" s="23"/>
      <c r="H33" s="2"/>
      <c r="J33" s="23"/>
      <c r="M33" s="2"/>
      <c r="N33" s="2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2</vt:lpstr>
      <vt:lpstr>Table 3</vt:lpstr>
      <vt:lpstr>PCS Perforamance</vt:lpstr>
      <vt:lpstr>FHE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Freya Liu</dc:creator>
  <cp:lastModifiedBy>Freya Liu</cp:lastModifiedBy>
  <dcterms:created xsi:type="dcterms:W3CDTF">2026-01-11T21:11:52Z</dcterms:created>
  <dcterms:modified xsi:type="dcterms:W3CDTF">2026-02-05T15:05:38Z</dcterms:modified>
</cp:coreProperties>
</file>